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ong etienne junior\Desktop\"/>
    </mc:Choice>
  </mc:AlternateContent>
  <bookViews>
    <workbookView xWindow="120" yWindow="60" windowWidth="19095" windowHeight="8445" firstSheet="1" activeTab="7"/>
  </bookViews>
  <sheets>
    <sheet name="reg teacher" sheetId="1" r:id="rId1"/>
    <sheet name="payslip" sheetId="2" r:id="rId2"/>
    <sheet name="reg science" sheetId="3" r:id="rId3"/>
    <sheet name="reg arts" sheetId="4" r:id="rId4"/>
    <sheet name="eng report" sheetId="5" r:id="rId5"/>
    <sheet name="eng sheet" sheetId="6" r:id="rId6"/>
    <sheet name="med sheet" sheetId="7" r:id="rId7"/>
    <sheet name="med report" sheetId="8" r:id="rId8"/>
  </sheets>
  <externalReferences>
    <externalReference r:id="rId9"/>
  </externalReferences>
  <definedNames>
    <definedName name="DATA">[1]Sheet1!$B$2:$P$21</definedName>
  </definedNames>
  <calcPr calcId="152511"/>
</workbook>
</file>

<file path=xl/calcChain.xml><?xml version="1.0" encoding="utf-8"?>
<calcChain xmlns="http://schemas.openxmlformats.org/spreadsheetml/2006/main">
  <c r="C33" i="8" l="1"/>
  <c r="C36" i="8" s="1"/>
  <c r="E33" i="8"/>
  <c r="C38" i="8" s="1"/>
  <c r="F33" i="8"/>
  <c r="C39" i="8" s="1"/>
  <c r="D33" i="8"/>
  <c r="C37" i="8" s="1"/>
  <c r="B33" i="8"/>
  <c r="C35" i="8" s="1"/>
  <c r="G23" i="8"/>
  <c r="H23" i="8" s="1"/>
  <c r="G25" i="8"/>
  <c r="H25" i="8" s="1"/>
  <c r="G27" i="8"/>
  <c r="H27" i="8" s="1"/>
  <c r="G29" i="8"/>
  <c r="H29" i="8" s="1"/>
  <c r="G31" i="8"/>
  <c r="H31" i="8" s="1"/>
  <c r="G21" i="8"/>
  <c r="H21" i="8" s="1"/>
  <c r="G23" i="5"/>
  <c r="G25" i="5"/>
  <c r="H25" i="5" s="1"/>
  <c r="G27" i="5"/>
  <c r="H27" i="5" s="1"/>
  <c r="G29" i="5"/>
  <c r="G31" i="5"/>
  <c r="E33" i="5"/>
  <c r="C39" i="5" s="1"/>
  <c r="C33" i="5"/>
  <c r="C35" i="5" s="1"/>
  <c r="G21" i="5"/>
  <c r="H21" i="5" s="1"/>
  <c r="H23" i="5"/>
  <c r="H29" i="5"/>
  <c r="H31" i="5"/>
  <c r="C30" i="2"/>
  <c r="G33" i="8" l="1"/>
  <c r="H33" i="8" s="1"/>
  <c r="G33" i="5"/>
  <c r="H33" i="5" s="1"/>
</calcChain>
</file>

<file path=xl/sharedStrings.xml><?xml version="1.0" encoding="utf-8"?>
<sst xmlns="http://schemas.openxmlformats.org/spreadsheetml/2006/main" count="466" uniqueCount="256">
  <si>
    <t>ASPY</t>
  </si>
  <si>
    <t>CONFIDENTIAL</t>
  </si>
  <si>
    <t>SALARY SLIP</t>
  </si>
  <si>
    <t>Personal Information</t>
  </si>
  <si>
    <t>Department</t>
  </si>
  <si>
    <t>Description</t>
  </si>
  <si>
    <t>Earnings</t>
  </si>
  <si>
    <t>Pay Date &amp; Time</t>
  </si>
  <si>
    <t>Signature</t>
  </si>
  <si>
    <t>Client</t>
  </si>
  <si>
    <t>Service</t>
  </si>
  <si>
    <t>Teacher's Name</t>
  </si>
  <si>
    <t>Teacher's ID</t>
  </si>
  <si>
    <t>School</t>
  </si>
  <si>
    <t>Level</t>
  </si>
  <si>
    <t>Email</t>
  </si>
  <si>
    <t>Contact</t>
  </si>
  <si>
    <t>Speciality</t>
  </si>
  <si>
    <t>Residence</t>
  </si>
  <si>
    <t>Subject</t>
  </si>
  <si>
    <t>Post of Responsibility</t>
  </si>
  <si>
    <t>Experince</t>
  </si>
  <si>
    <t>ACADEMIC YEAR 19/20</t>
  </si>
  <si>
    <t>Organisation Information</t>
  </si>
  <si>
    <t>November Descend</t>
  </si>
  <si>
    <t>January Descend</t>
  </si>
  <si>
    <t>April Descend</t>
  </si>
  <si>
    <t>May Descend</t>
  </si>
  <si>
    <t>June Descend</t>
  </si>
  <si>
    <t>Total Descends</t>
  </si>
  <si>
    <t>Descend Coeff</t>
  </si>
  <si>
    <t>Responsibility Ceo</t>
  </si>
  <si>
    <t>Reference No</t>
  </si>
  <si>
    <t>Hourly Rate</t>
  </si>
  <si>
    <t>Total Hours</t>
  </si>
  <si>
    <t>Descend Pay</t>
  </si>
  <si>
    <t>Responsibility Pay</t>
  </si>
  <si>
    <t>Total Hourly Pay</t>
  </si>
  <si>
    <t>Net Pay</t>
  </si>
  <si>
    <t>TEACHERS REGISTRATION</t>
  </si>
  <si>
    <t>NAME</t>
  </si>
  <si>
    <t>SCHOOL</t>
  </si>
  <si>
    <t>DEPATMENT</t>
  </si>
  <si>
    <t>LEVEL</t>
  </si>
  <si>
    <t>SPECIALITY</t>
  </si>
  <si>
    <t>SUBJECT</t>
  </si>
  <si>
    <t>RESIDENCE</t>
  </si>
  <si>
    <t>CONTACT</t>
  </si>
  <si>
    <t>EMAIL</t>
  </si>
  <si>
    <t>NOVEMBER</t>
  </si>
  <si>
    <t>JANUARY</t>
  </si>
  <si>
    <t>APRIL</t>
  </si>
  <si>
    <t>MAY</t>
  </si>
  <si>
    <t>JUNE</t>
  </si>
  <si>
    <t>HOURLY RATE</t>
  </si>
  <si>
    <t>TOTAL HOURS</t>
  </si>
  <si>
    <t>TOTAL PAY</t>
  </si>
  <si>
    <t>DESCENDS PAY</t>
  </si>
  <si>
    <t>RESPONSIBILITY COEFF</t>
  </si>
  <si>
    <t>DESCENDS COEFF.</t>
  </si>
  <si>
    <t>RESPONSIBILITY PAY</t>
  </si>
  <si>
    <t>NET PAY</t>
  </si>
  <si>
    <t>ID</t>
  </si>
  <si>
    <t>REFERENCE</t>
  </si>
  <si>
    <t>PERSONAL INFORMATION</t>
  </si>
  <si>
    <t>PAYMENT INFORMATION</t>
  </si>
  <si>
    <t>DESCENDS INFORMATION</t>
  </si>
  <si>
    <t>PARENT</t>
  </si>
  <si>
    <t xml:space="preserve">TOTAL </t>
  </si>
  <si>
    <t>BIOLOGY</t>
  </si>
  <si>
    <t>CHEMISTRY</t>
  </si>
  <si>
    <t>PHYSICS</t>
  </si>
  <si>
    <t>F.MATS</t>
  </si>
  <si>
    <t>P.MATHS</t>
  </si>
  <si>
    <t>ICT</t>
  </si>
  <si>
    <t>COMPUTER SC.</t>
  </si>
  <si>
    <t>GEOLOGY</t>
  </si>
  <si>
    <t>CONCOURS</t>
  </si>
  <si>
    <t>UNIVERSITY</t>
  </si>
  <si>
    <t>TRAVEL ABROAD</t>
  </si>
  <si>
    <t>FIELD</t>
  </si>
  <si>
    <t>CLASSES</t>
  </si>
  <si>
    <t>TOWN</t>
  </si>
  <si>
    <t>CENTRE</t>
  </si>
  <si>
    <t>INSTITUTION</t>
  </si>
  <si>
    <t>COUNTRY</t>
  </si>
  <si>
    <t>REASON</t>
  </si>
  <si>
    <t>FOOD SC.</t>
  </si>
  <si>
    <t>PRIVATE INST.</t>
  </si>
  <si>
    <t>SUBJECTS OFFERED</t>
  </si>
  <si>
    <t>DECISION AFTER GCE</t>
  </si>
  <si>
    <t>STUDENT REGISTRATION ARTS</t>
  </si>
  <si>
    <t>HIISTORY</t>
  </si>
  <si>
    <t>GEOGRAPHY</t>
  </si>
  <si>
    <t>LANGUAGE</t>
  </si>
  <si>
    <t>ECONOMICS</t>
  </si>
  <si>
    <t>RELIGIOUS ST.</t>
  </si>
  <si>
    <t>PHILOSOPHY</t>
  </si>
  <si>
    <t>LITERATURE</t>
  </si>
  <si>
    <t>YES</t>
  </si>
  <si>
    <t>Concours</t>
  </si>
  <si>
    <t>DECIISION AFTER GCE</t>
  </si>
  <si>
    <t>Engineering</t>
  </si>
  <si>
    <t>NO</t>
  </si>
  <si>
    <t>University</t>
  </si>
  <si>
    <t>BILL</t>
  </si>
  <si>
    <t>agGHH</t>
  </si>
  <si>
    <t>TEU</t>
  </si>
  <si>
    <t>HTEJUT</t>
  </si>
  <si>
    <t>TJTEIR</t>
  </si>
  <si>
    <t>ENSTP</t>
  </si>
  <si>
    <t>AMASIA</t>
  </si>
  <si>
    <t>SAFAGHHf</t>
  </si>
  <si>
    <t>GGETH</t>
  </si>
  <si>
    <t>BHTH</t>
  </si>
  <si>
    <t>EUTHB</t>
  </si>
  <si>
    <t>AERUE5</t>
  </si>
  <si>
    <t>ADFGF</t>
  </si>
  <si>
    <t>RBTB</t>
  </si>
  <si>
    <t>TBHBH</t>
  </si>
  <si>
    <t>TBHTN</t>
  </si>
  <si>
    <t>BHTHJ</t>
  </si>
  <si>
    <t>THJYJ</t>
  </si>
  <si>
    <t>RYJ</t>
  </si>
  <si>
    <t>YRKK</t>
  </si>
  <si>
    <t>YRKKY</t>
  </si>
  <si>
    <t>Afgv</t>
  </si>
  <si>
    <t>rghh</t>
  </si>
  <si>
    <t>ukok</t>
  </si>
  <si>
    <t>tki5uko</t>
  </si>
  <si>
    <t>kioeo</t>
  </si>
  <si>
    <t>de8eikck</t>
  </si>
  <si>
    <t>deju7iju</t>
  </si>
  <si>
    <t>ruidki8u7</t>
  </si>
  <si>
    <t>a567bn7</t>
  </si>
  <si>
    <t>6u e56u</t>
  </si>
  <si>
    <t>4yub468u</t>
  </si>
  <si>
    <t>6 iu7i</t>
  </si>
  <si>
    <t>hs</t>
  </si>
  <si>
    <t>ZAet</t>
  </si>
  <si>
    <t>TE Y</t>
  </si>
  <si>
    <t>YH65U</t>
  </si>
  <si>
    <t>SYGT6</t>
  </si>
  <si>
    <t>SWU</t>
  </si>
  <si>
    <t xml:space="preserve">SWU U6 </t>
  </si>
  <si>
    <t>E7IE</t>
  </si>
  <si>
    <t>EIIO</t>
  </si>
  <si>
    <t>RABY</t>
  </si>
  <si>
    <t>U7IWM</t>
  </si>
  <si>
    <t>GI</t>
  </si>
  <si>
    <t>ILI</t>
  </si>
  <si>
    <t>UJLL</t>
  </si>
  <si>
    <t>LUL</t>
  </si>
  <si>
    <t>KLUL,K</t>
  </si>
  <si>
    <t>KLIL</t>
  </si>
  <si>
    <t>,LYIL,</t>
  </si>
  <si>
    <t>DUJI</t>
  </si>
  <si>
    <t>OEK</t>
  </si>
  <si>
    <t>ESUI</t>
  </si>
  <si>
    <t>KI7O</t>
  </si>
  <si>
    <t>BI</t>
  </si>
  <si>
    <t>KEM</t>
  </si>
  <si>
    <t>ADAD</t>
  </si>
  <si>
    <t>POSITION</t>
  </si>
  <si>
    <t>EXPERINCE</t>
  </si>
  <si>
    <t>TEACHING</t>
  </si>
  <si>
    <t>HJHASD</t>
  </si>
  <si>
    <t>TJN</t>
  </si>
  <si>
    <t>TRYJ</t>
  </si>
  <si>
    <t>TYJTKJ</t>
  </si>
  <si>
    <t>ETHUHY</t>
  </si>
  <si>
    <t>ERGY</t>
  </si>
  <si>
    <t>KSHSG</t>
  </si>
  <si>
    <t>DHFA</t>
  </si>
  <si>
    <t>TT188</t>
  </si>
  <si>
    <t>TT80001160</t>
  </si>
  <si>
    <t>HOD</t>
  </si>
  <si>
    <t>DETAIL MARK SHEET REPORT</t>
  </si>
  <si>
    <t>CENTER</t>
  </si>
  <si>
    <t>PARENT CONTACT</t>
  </si>
  <si>
    <t>APTITUDE TEST</t>
  </si>
  <si>
    <t>TESTS</t>
  </si>
  <si>
    <t>TOTAL</t>
  </si>
  <si>
    <t>REMARK</t>
  </si>
  <si>
    <t>TEST 1</t>
  </si>
  <si>
    <t>TEST 2</t>
  </si>
  <si>
    <t>TEST 3</t>
  </si>
  <si>
    <t>MOCK 1</t>
  </si>
  <si>
    <t>MOCK 2</t>
  </si>
  <si>
    <t>MATHEMATICS</t>
  </si>
  <si>
    <t>AVERAGE</t>
  </si>
  <si>
    <t>APPRECIATION 1</t>
  </si>
  <si>
    <t>APPRECITION 2</t>
  </si>
  <si>
    <t>CENTRE COORDINATOR</t>
  </si>
  <si>
    <t>ADMINISTRATOR</t>
  </si>
  <si>
    <t>STUDENT REGISTRATION SCIENCE</t>
  </si>
  <si>
    <t>STAFF</t>
  </si>
  <si>
    <t>SECRETARY</t>
  </si>
  <si>
    <t>APTITUDE MATHS</t>
  </si>
  <si>
    <t>TEST 1 MATHS</t>
  </si>
  <si>
    <t>TEST 2 MATHS</t>
  </si>
  <si>
    <t>TEST 3 MATHS</t>
  </si>
  <si>
    <t>MOCK 1 MATHS</t>
  </si>
  <si>
    <t>MOCK 2 MATHS</t>
  </si>
  <si>
    <t>APTITUDE PHY</t>
  </si>
  <si>
    <t>TEST 1 PHY</t>
  </si>
  <si>
    <t>TSET 2 PHY</t>
  </si>
  <si>
    <t>TEST 3 PHY</t>
  </si>
  <si>
    <t>MOCK 1 PHY</t>
  </si>
  <si>
    <t>MOCK 2 PHY</t>
  </si>
  <si>
    <t>ENGINEERING</t>
  </si>
  <si>
    <t>COORDINATOR</t>
  </si>
  <si>
    <t>FGH</t>
  </si>
  <si>
    <t>ENG245</t>
  </si>
  <si>
    <t>STUDENT MARK SHEET ENG</t>
  </si>
  <si>
    <t>APTITUDE BIO</t>
  </si>
  <si>
    <t>TEST 1 BIO</t>
  </si>
  <si>
    <t>TEST 2 BIO</t>
  </si>
  <si>
    <t>TEST 3 CHEM</t>
  </si>
  <si>
    <t>MOCK 1 BIO</t>
  </si>
  <si>
    <t>TEST 3 BIO</t>
  </si>
  <si>
    <t>MOCK 2 BIO</t>
  </si>
  <si>
    <t>APTITUDE CHEM</t>
  </si>
  <si>
    <t>TEST 1 CHEM</t>
  </si>
  <si>
    <t>TEST 2 CHEM</t>
  </si>
  <si>
    <t>MOCK 1 CHEM</t>
  </si>
  <si>
    <t>MOCK 2 CHEM</t>
  </si>
  <si>
    <t>APTITUDE GN</t>
  </si>
  <si>
    <t>TEST 1 GN</t>
  </si>
  <si>
    <t>TEST 2 GN</t>
  </si>
  <si>
    <t>TEST 3 GN</t>
  </si>
  <si>
    <t>MOCK 1 GN</t>
  </si>
  <si>
    <t>MOCK 2 GN</t>
  </si>
  <si>
    <t>APTITUDE FR</t>
  </si>
  <si>
    <t>TEST 1 FR</t>
  </si>
  <si>
    <t>TEST 2 FR</t>
  </si>
  <si>
    <t>TEST 3 FR</t>
  </si>
  <si>
    <t>MOCK 1 FR</t>
  </si>
  <si>
    <t>MOCK 3 FR</t>
  </si>
  <si>
    <t>STUDENT MARK SHEET MED</t>
  </si>
  <si>
    <t xml:space="preserve">APTITUDE </t>
  </si>
  <si>
    <t>BIO</t>
  </si>
  <si>
    <t>PHY</t>
  </si>
  <si>
    <t>CHEM</t>
  </si>
  <si>
    <t>FREN</t>
  </si>
  <si>
    <t>GN</t>
  </si>
  <si>
    <t>MEDICINE</t>
  </si>
  <si>
    <t>APPRECIATION 2</t>
  </si>
  <si>
    <t>APPRECIATION 3</t>
  </si>
  <si>
    <t>APPRECIATION 4</t>
  </si>
  <si>
    <t>APPRECIATION 5</t>
  </si>
  <si>
    <t>gjrcfgwk</t>
  </si>
  <si>
    <t>MED828</t>
  </si>
  <si>
    <t>wedjhfejb</t>
  </si>
  <si>
    <t>MED195</t>
  </si>
  <si>
    <t>ENG378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</si>
</sst>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00"/>
    <numFmt numFmtId="165" formatCode="[$-409]m/d/yy\ h:mm\ AM/PM;@"/>
  </numFmts>
  <fonts count="19" x14ac:knownFonts="1">
    <font>
      <sz val="11"/>
      <color theme="1"/>
      <name val="Calibri"/>
      <family val="2"/>
      <scheme val="minor"/>
    </font>
    <font>
      <b/>
      <sz val="11"/>
      <color theme="1"/>
      <name val="Calibri"/>
      <family val="2"/>
      <scheme val="minor"/>
    </font>
    <font>
      <b/>
      <sz val="22"/>
      <color theme="0"/>
      <name val="Calibri"/>
      <family val="2"/>
      <scheme val="minor"/>
    </font>
    <font>
      <b/>
      <sz val="18"/>
      <color theme="0"/>
      <name val="Calibri"/>
      <family val="2"/>
      <scheme val="minor"/>
    </font>
    <font>
      <b/>
      <sz val="18"/>
      <color theme="1"/>
      <name val="Rockwell"/>
      <family val="1"/>
    </font>
    <font>
      <b/>
      <sz val="14"/>
      <color theme="1"/>
      <name val="Rockwell"/>
      <family val="1"/>
    </font>
    <font>
      <b/>
      <sz val="14"/>
      <color theme="1"/>
      <name val="Calibri"/>
      <family val="2"/>
      <scheme val="minor"/>
    </font>
    <font>
      <b/>
      <sz val="12"/>
      <color theme="1"/>
      <name val="Calibri"/>
      <family val="2"/>
      <scheme val="minor"/>
    </font>
    <font>
      <sz val="14"/>
      <color theme="1"/>
      <name val="Calibri"/>
      <family val="2"/>
      <scheme val="minor"/>
    </font>
    <font>
      <b/>
      <sz val="18"/>
      <color theme="3"/>
      <name val="Rockwell"/>
      <family val="1"/>
    </font>
    <font>
      <b/>
      <sz val="18"/>
      <color theme="0"/>
      <name val="Rockwell"/>
      <family val="1"/>
    </font>
    <font>
      <b/>
      <sz val="20"/>
      <color theme="0"/>
      <name val="Rockwell"/>
      <family val="1"/>
    </font>
    <font>
      <b/>
      <sz val="20"/>
      <color theme="1"/>
      <name val="Rockwell"/>
      <family val="1"/>
    </font>
    <font>
      <sz val="11"/>
      <color theme="0"/>
      <name val="Calibri"/>
      <family val="2"/>
    </font>
    <font>
      <b/>
      <sz val="12"/>
      <color theme="1"/>
      <name val="Calibri"/>
      <family val="2"/>
    </font>
    <font>
      <b/>
      <sz val="11"/>
      <color theme="1"/>
      <name val="Calibri"/>
      <family val="2"/>
    </font>
    <font>
      <b/>
      <sz val="22"/>
      <color theme="1"/>
      <name val="Calibri"/>
      <family val="2"/>
      <scheme val="minor"/>
    </font>
    <font>
      <b/>
      <sz val="9"/>
      <color theme="1"/>
      <name val="Calibri"/>
      <family val="2"/>
      <scheme val="minor"/>
    </font>
    <font>
      <u/>
      <sz val="11"/>
      <color theme="1"/>
      <name val="Calibri"/>
      <family val="2"/>
      <scheme val="minor"/>
    </font>
  </fonts>
  <fills count="23">
    <fill>
      <patternFill patternType="none"/>
    </fill>
    <fill>
      <patternFill patternType="gray125"/>
    </fill>
    <fill>
      <patternFill patternType="solid">
        <fgColor theme="0"/>
        <bgColor indexed="64"/>
      </patternFill>
    </fill>
    <fill>
      <patternFill patternType="solid">
        <fgColor theme="3" tint="0.59996337778862885"/>
        <bgColor indexed="64"/>
      </patternFill>
    </fill>
    <fill>
      <patternFill patternType="solid">
        <fgColor theme="9" tint="0.39994506668294322"/>
        <bgColor indexed="64"/>
      </patternFill>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theme="6"/>
        <bgColor indexed="64"/>
      </patternFill>
    </fill>
    <fill>
      <patternFill patternType="solid">
        <fgColor theme="4" tint="0.59996337778862885"/>
        <bgColor indexed="64"/>
      </patternFill>
    </fill>
    <fill>
      <patternFill patternType="solid">
        <fgColor theme="9" tint="0.59996337778862885"/>
        <bgColor indexed="64"/>
      </patternFill>
    </fill>
    <fill>
      <patternFill patternType="solid">
        <fgColor theme="6" tint="0.59996337778862885"/>
        <bgColor indexed="64"/>
      </patternFill>
    </fill>
    <fill>
      <patternFill patternType="solid">
        <fgColor theme="7" tint="-0.24994659260841701"/>
        <bgColor indexed="64"/>
      </patternFill>
    </fill>
    <fill>
      <patternFill patternType="solid">
        <fgColor theme="4" tint="-0.499984740745262"/>
        <bgColor indexed="64"/>
      </patternFill>
    </fill>
    <fill>
      <patternFill patternType="solid">
        <fgColor theme="7" tint="-0.499984740745262"/>
        <bgColor indexed="64"/>
      </patternFill>
    </fill>
    <fill>
      <patternFill patternType="solid">
        <fgColor theme="9" tint="-0.499984740745262"/>
        <bgColor indexed="64"/>
      </patternFill>
    </fill>
    <fill>
      <patternFill patternType="solid">
        <fgColor theme="4" tint="-0.24994659260841701"/>
        <bgColor indexed="64"/>
      </patternFill>
    </fill>
    <fill>
      <patternFill patternType="solid">
        <fgColor theme="3" tint="0.39994506668294322"/>
        <bgColor indexed="64"/>
      </patternFill>
    </fill>
    <fill>
      <patternFill patternType="solid">
        <fgColor theme="5" tint="0.39994506668294322"/>
        <bgColor indexed="64"/>
      </patternFill>
    </fill>
    <fill>
      <patternFill patternType="solid">
        <fgColor theme="8" tint="-0.249977111117893"/>
        <bgColor indexed="64"/>
      </patternFill>
    </fill>
    <fill>
      <patternFill patternType="solid">
        <fgColor rgb="FF7030A0"/>
        <bgColor indexed="64"/>
      </patternFill>
    </fill>
    <fill>
      <patternFill patternType="solid">
        <fgColor theme="3"/>
        <bgColor indexed="64"/>
      </patternFill>
    </fill>
    <fill>
      <patternFill patternType="solid">
        <fgColor theme="5" tint="0.39997558519241921"/>
        <bgColor indexed="64"/>
      </patternFill>
    </fill>
  </fills>
  <borders count="24">
    <border>
      <left/>
      <right/>
      <top/>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s>
  <cellStyleXfs count="1">
    <xf numFmtId="0" fontId="0" fillId="0" borderId="0"/>
  </cellStyleXfs>
  <cellXfs count="153">
    <xf numFmtId="0" fontId="0" fillId="0" borderId="0" xfId="0"/>
    <xf numFmtId="0" fontId="1" fillId="0" borderId="12" xfId="0" applyFont="1" applyBorder="1"/>
    <xf numFmtId="0" fontId="0" fillId="0" borderId="13" xfId="0" applyBorder="1"/>
    <xf numFmtId="0" fontId="0" fillId="0" borderId="14" xfId="0" applyBorder="1"/>
    <xf numFmtId="0" fontId="0" fillId="0" borderId="0" xfId="0"/>
    <xf numFmtId="0" fontId="9" fillId="0" borderId="0" xfId="0" applyFont="1" applyAlignment="1">
      <alignment horizontal="center" vertical="center"/>
    </xf>
    <xf numFmtId="0" fontId="0" fillId="9" borderId="0" xfId="0" applyFill="1"/>
    <xf numFmtId="0" fontId="0" fillId="10" borderId="0" xfId="0" applyFill="1"/>
    <xf numFmtId="0" fontId="0" fillId="11" borderId="0" xfId="0" applyFill="1"/>
    <xf numFmtId="0" fontId="0" fillId="18" borderId="0" xfId="0" applyFill="1"/>
    <xf numFmtId="0" fontId="10" fillId="14" borderId="0" xfId="0" applyFont="1" applyFill="1" applyAlignment="1">
      <alignment horizontal="center" vertical="center"/>
    </xf>
    <xf numFmtId="0" fontId="13" fillId="14" borderId="0" xfId="0" applyFont="1" applyFill="1" applyAlignment="1">
      <alignment horizontal="center" vertical="center"/>
    </xf>
    <xf numFmtId="0" fontId="0" fillId="0" borderId="3" xfId="0" applyBorder="1"/>
    <xf numFmtId="0" fontId="0" fillId="0" borderId="4" xfId="0" applyBorder="1"/>
    <xf numFmtId="0" fontId="0" fillId="0" borderId="0" xfId="0" applyBorder="1"/>
    <xf numFmtId="0" fontId="0" fillId="0" borderId="7" xfId="0" applyBorder="1"/>
    <xf numFmtId="0" fontId="0" fillId="0" borderId="6" xfId="0" applyBorder="1"/>
    <xf numFmtId="0" fontId="1" fillId="0" borderId="0" xfId="0" applyFont="1" applyBorder="1"/>
    <xf numFmtId="0" fontId="6" fillId="0" borderId="17" xfId="0" applyFont="1" applyBorder="1"/>
    <xf numFmtId="0" fontId="0" fillId="0" borderId="0" xfId="0" applyNumberFormat="1" applyAlignment="1">
      <alignment vertical="justify"/>
    </xf>
    <xf numFmtId="0" fontId="17" fillId="0" borderId="0" xfId="0" applyFont="1" applyBorder="1" applyAlignment="1"/>
    <xf numFmtId="0" fontId="0" fillId="0" borderId="5" xfId="0" applyBorder="1"/>
    <xf numFmtId="0" fontId="0" fillId="0" borderId="8" xfId="0" applyBorder="1"/>
    <xf numFmtId="0" fontId="0" fillId="22" borderId="0" xfId="0" applyFill="1"/>
    <xf numFmtId="0" fontId="1" fillId="0" borderId="0" xfId="0" applyFont="1" applyBorder="1" applyAlignment="1"/>
    <xf numFmtId="0" fontId="1" fillId="0" borderId="0" xfId="0" applyFont="1" applyBorder="1" applyAlignment="1"/>
    <xf numFmtId="2" fontId="6" fillId="0" borderId="15" xfId="0" applyNumberFormat="1" applyFont="1" applyBorder="1" applyAlignment="1">
      <alignment horizontal="center" vertical="center"/>
    </xf>
    <xf numFmtId="2" fontId="6" fillId="0" borderId="15" xfId="0" applyNumberFormat="1" applyFont="1" applyBorder="1" applyAlignment="1">
      <alignment horizontal="center" vertical="center"/>
    </xf>
    <xf numFmtId="0" fontId="6" fillId="0" borderId="16" xfId="0" applyFont="1" applyBorder="1" applyAlignment="1"/>
    <xf numFmtId="0" fontId="6" fillId="0" borderId="17" xfId="0" applyFont="1" applyBorder="1" applyAlignment="1"/>
    <xf numFmtId="0" fontId="1" fillId="0" borderId="16" xfId="0" applyFont="1" applyBorder="1" applyAlignment="1"/>
    <xf numFmtId="0" fontId="6" fillId="0" borderId="15" xfId="0" applyFont="1" applyBorder="1" applyAlignment="1"/>
    <xf numFmtId="0" fontId="1" fillId="0" borderId="0" xfId="0" applyFont="1" applyBorder="1" applyAlignment="1">
      <alignment vertical="justify"/>
    </xf>
    <xf numFmtId="2" fontId="6" fillId="0" borderId="16" xfId="0" applyNumberFormat="1" applyFont="1" applyBorder="1" applyAlignment="1">
      <alignment horizontal="center" vertical="center"/>
    </xf>
    <xf numFmtId="0" fontId="11" fillId="5" borderId="0" xfId="0" applyFont="1" applyFill="1" applyAlignment="1">
      <alignment horizontal="center" vertical="center"/>
    </xf>
    <xf numFmtId="0" fontId="10" fillId="6" borderId="0" xfId="0" applyFont="1" applyFill="1" applyAlignment="1">
      <alignment horizontal="center" vertical="center"/>
    </xf>
    <xf numFmtId="0" fontId="10" fillId="8" borderId="0" xfId="0" applyFont="1" applyFill="1" applyAlignment="1">
      <alignment horizontal="center" vertical="center"/>
    </xf>
    <xf numFmtId="0" fontId="10" fillId="7" borderId="0" xfId="0" applyFont="1" applyFill="1" applyAlignment="1">
      <alignment horizontal="center" vertical="center"/>
    </xf>
    <xf numFmtId="0" fontId="0" fillId="0" borderId="0" xfId="0" applyAlignment="1">
      <alignment horizontal="center" vertical="center"/>
    </xf>
    <xf numFmtId="0" fontId="6" fillId="3" borderId="9" xfId="0" applyFont="1" applyFill="1" applyBorder="1" applyAlignment="1">
      <alignment horizontal="center" vertical="center"/>
    </xf>
    <xf numFmtId="0" fontId="6" fillId="3" borderId="11" xfId="0" applyFont="1" applyFill="1" applyBorder="1" applyAlignment="1">
      <alignment horizontal="center" vertical="center"/>
    </xf>
    <xf numFmtId="164" fontId="7" fillId="0" borderId="1" xfId="0" applyNumberFormat="1" applyFont="1" applyBorder="1" applyAlignment="1"/>
    <xf numFmtId="164" fontId="7" fillId="0" borderId="3" xfId="0" applyNumberFormat="1" applyFont="1" applyBorder="1" applyAlignment="1"/>
    <xf numFmtId="164" fontId="7" fillId="0" borderId="2" xfId="0" applyNumberFormat="1" applyFont="1" applyBorder="1" applyAlignment="1"/>
    <xf numFmtId="4" fontId="7" fillId="0" borderId="4" xfId="0" applyNumberFormat="1" applyFont="1" applyBorder="1" applyAlignment="1"/>
    <xf numFmtId="4" fontId="7" fillId="0" borderId="0" xfId="0" applyNumberFormat="1" applyFont="1" applyBorder="1" applyAlignment="1"/>
    <xf numFmtId="4" fontId="7" fillId="0" borderId="5" xfId="0" applyNumberFormat="1" applyFont="1" applyBorder="1" applyAlignment="1"/>
    <xf numFmtId="164" fontId="7" fillId="0" borderId="4" xfId="0" applyNumberFormat="1" applyFont="1" applyBorder="1" applyAlignment="1"/>
    <xf numFmtId="164" fontId="7" fillId="0" borderId="0" xfId="0" applyNumberFormat="1" applyFont="1" applyBorder="1" applyAlignment="1"/>
    <xf numFmtId="164" fontId="7" fillId="0" borderId="5" xfId="0" applyNumberFormat="1" applyFont="1" applyBorder="1" applyAlignment="1"/>
    <xf numFmtId="0" fontId="14" fillId="0" borderId="0" xfId="0" applyFont="1" applyBorder="1" applyAlignment="1"/>
    <xf numFmtId="0" fontId="14" fillId="0" borderId="5" xfId="0" applyFont="1" applyBorder="1" applyAlignment="1"/>
    <xf numFmtId="0" fontId="5" fillId="0" borderId="0" xfId="0" applyFont="1" applyBorder="1" applyAlignment="1"/>
    <xf numFmtId="0" fontId="5" fillId="0" borderId="5" xfId="0" applyFont="1" applyBorder="1" applyAlignment="1"/>
    <xf numFmtId="0" fontId="14" fillId="0" borderId="0" xfId="0" applyFont="1" applyBorder="1" applyAlignment="1">
      <alignment horizontal="center" vertical="center"/>
    </xf>
    <xf numFmtId="0" fontId="14" fillId="0" borderId="3" xfId="0" applyFont="1" applyBorder="1" applyAlignment="1"/>
    <xf numFmtId="0" fontId="14" fillId="0" borderId="2" xfId="0" applyFont="1" applyBorder="1" applyAlignment="1"/>
    <xf numFmtId="0" fontId="6" fillId="3" borderId="10" xfId="0" applyFont="1" applyFill="1" applyBorder="1" applyAlignment="1">
      <alignment horizontal="center" vertical="center"/>
    </xf>
    <xf numFmtId="0" fontId="8" fillId="3" borderId="9" xfId="0" applyFont="1" applyFill="1" applyBorder="1" applyAlignment="1">
      <alignment horizontal="center" vertical="center"/>
    </xf>
    <xf numFmtId="0" fontId="8" fillId="3" borderId="11" xfId="0" applyFont="1" applyFill="1" applyBorder="1" applyAlignment="1">
      <alignment horizontal="center" vertical="center"/>
    </xf>
    <xf numFmtId="0" fontId="7" fillId="0" borderId="4" xfId="0" applyFont="1" applyBorder="1" applyAlignment="1"/>
    <xf numFmtId="0" fontId="0" fillId="0" borderId="0" xfId="0" applyBorder="1" applyAlignment="1"/>
    <xf numFmtId="0" fontId="7" fillId="0" borderId="0" xfId="0" applyFont="1" applyBorder="1" applyAlignment="1"/>
    <xf numFmtId="0" fontId="1" fillId="0" borderId="0" xfId="0" applyFont="1" applyBorder="1" applyAlignment="1"/>
    <xf numFmtId="0" fontId="1" fillId="0" borderId="5" xfId="0" applyFont="1" applyBorder="1" applyAlignment="1"/>
    <xf numFmtId="0" fontId="0" fillId="3" borderId="9" xfId="0" applyFill="1" applyBorder="1" applyAlignment="1"/>
    <xf numFmtId="0" fontId="0" fillId="3" borderId="11" xfId="0" applyFill="1" applyBorder="1" applyAlignment="1"/>
    <xf numFmtId="0" fontId="15" fillId="0" borderId="3" xfId="0" applyFont="1" applyBorder="1" applyAlignment="1"/>
    <xf numFmtId="0" fontId="15" fillId="0" borderId="0" xfId="0" applyFont="1" applyBorder="1" applyAlignment="1"/>
    <xf numFmtId="0" fontId="15" fillId="0" borderId="0" xfId="0" applyFont="1" applyAlignment="1"/>
    <xf numFmtId="0" fontId="1" fillId="0" borderId="3" xfId="0" applyFont="1" applyBorder="1" applyAlignment="1"/>
    <xf numFmtId="0" fontId="1" fillId="0" borderId="2" xfId="0" applyFont="1" applyBorder="1" applyAlignment="1"/>
    <xf numFmtId="0" fontId="7" fillId="0" borderId="5" xfId="0" applyFont="1" applyBorder="1" applyAlignment="1"/>
    <xf numFmtId="0" fontId="0" fillId="0" borderId="4" xfId="0" applyBorder="1" applyAlignment="1"/>
    <xf numFmtId="0" fontId="0" fillId="0" borderId="5" xfId="0" applyBorder="1" applyAlignment="1"/>
    <xf numFmtId="0" fontId="7" fillId="0" borderId="7" xfId="0" applyFont="1" applyBorder="1" applyAlignment="1"/>
    <xf numFmtId="0" fontId="7" fillId="0" borderId="6" xfId="0" applyFont="1" applyBorder="1" applyAlignment="1"/>
    <xf numFmtId="0" fontId="7" fillId="0" borderId="8" xfId="0" applyFont="1" applyBorder="1" applyAlignment="1"/>
    <xf numFmtId="0" fontId="0" fillId="0" borderId="7" xfId="0" applyBorder="1" applyAlignment="1"/>
    <xf numFmtId="0" fontId="0" fillId="0" borderId="8" xfId="0" applyBorder="1" applyAlignment="1"/>
    <xf numFmtId="0" fontId="7" fillId="0" borderId="3" xfId="0" applyFont="1" applyBorder="1" applyAlignment="1"/>
    <xf numFmtId="0" fontId="7" fillId="0" borderId="2" xfId="0" applyFont="1" applyBorder="1" applyAlignment="1"/>
    <xf numFmtId="0" fontId="7" fillId="0" borderId="10" xfId="0" applyFont="1" applyBorder="1" applyAlignment="1"/>
    <xf numFmtId="0" fontId="7" fillId="0" borderId="11" xfId="0" applyFont="1" applyBorder="1" applyAlignment="1"/>
    <xf numFmtId="0" fontId="7" fillId="0" borderId="9" xfId="0" applyFont="1" applyBorder="1" applyAlignment="1"/>
    <xf numFmtId="165" fontId="7" fillId="0" borderId="9" xfId="0" applyNumberFormat="1" applyFont="1" applyBorder="1" applyAlignment="1">
      <alignment horizontal="center" vertical="center"/>
    </xf>
    <xf numFmtId="165" fontId="0" fillId="0" borderId="9" xfId="0" applyNumberFormat="1" applyBorder="1" applyAlignment="1">
      <alignment horizontal="center" vertical="center"/>
    </xf>
    <xf numFmtId="165" fontId="0" fillId="0" borderId="11" xfId="0" applyNumberFormat="1" applyBorder="1" applyAlignment="1">
      <alignment horizontal="center" vertical="center"/>
    </xf>
    <xf numFmtId="164" fontId="7" fillId="3" borderId="7" xfId="0" applyNumberFormat="1" applyFont="1" applyFill="1" applyBorder="1" applyAlignment="1"/>
    <xf numFmtId="164" fontId="7" fillId="3" borderId="6" xfId="0" applyNumberFormat="1" applyFont="1" applyFill="1" applyBorder="1" applyAlignment="1"/>
    <xf numFmtId="164" fontId="7" fillId="3" borderId="8" xfId="0" applyNumberFormat="1" applyFont="1" applyFill="1" applyBorder="1" applyAlignment="1"/>
    <xf numFmtId="0" fontId="12" fillId="0" borderId="0" xfId="0" applyFont="1" applyAlignment="1">
      <alignment horizontal="center" vertical="center"/>
    </xf>
    <xf numFmtId="0" fontId="7" fillId="0" borderId="1" xfId="0" applyFont="1" applyBorder="1" applyAlignment="1"/>
    <xf numFmtId="0" fontId="0" fillId="0" borderId="3" xfId="0" applyBorder="1" applyAlignment="1"/>
    <xf numFmtId="0" fontId="14" fillId="0" borderId="3" xfId="0" applyFont="1" applyBorder="1" applyAlignment="1">
      <alignment horizontal="center" vertical="center"/>
    </xf>
    <xf numFmtId="0" fontId="1" fillId="0" borderId="1" xfId="0" applyFont="1" applyBorder="1" applyAlignment="1">
      <alignment horizontal="center"/>
    </xf>
    <xf numFmtId="0" fontId="1" fillId="0" borderId="3" xfId="0" applyFont="1" applyBorder="1" applyAlignment="1">
      <alignment horizontal="center"/>
    </xf>
    <xf numFmtId="0" fontId="1" fillId="0" borderId="2" xfId="0" applyFont="1" applyBorder="1" applyAlignment="1">
      <alignment horizontal="center"/>
    </xf>
    <xf numFmtId="0" fontId="2" fillId="2" borderId="1" xfId="0" applyFont="1" applyFill="1" applyBorder="1" applyAlignment="1">
      <alignment horizontal="center" vertical="center"/>
    </xf>
    <xf numFmtId="0" fontId="0" fillId="2" borderId="2" xfId="0" applyFill="1" applyBorder="1" applyAlignment="1"/>
    <xf numFmtId="0" fontId="0" fillId="2" borderId="4" xfId="0" applyFill="1" applyBorder="1" applyAlignment="1"/>
    <xf numFmtId="0" fontId="0" fillId="2" borderId="5" xfId="0" applyFill="1" applyBorder="1" applyAlignment="1"/>
    <xf numFmtId="0" fontId="3" fillId="2" borderId="1" xfId="0" applyFont="1" applyFill="1" applyBorder="1" applyAlignment="1">
      <alignment horizontal="center" vertical="center"/>
    </xf>
    <xf numFmtId="0" fontId="0" fillId="0" borderId="2" xfId="0" applyBorder="1" applyAlignment="1"/>
    <xf numFmtId="0" fontId="4" fillId="4" borderId="3"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6" xfId="0" applyFont="1" applyFill="1" applyBorder="1" applyAlignment="1">
      <alignment horizontal="center" vertical="center"/>
    </xf>
    <xf numFmtId="17" fontId="5" fillId="4" borderId="3" xfId="0" applyNumberFormat="1" applyFont="1" applyFill="1" applyBorder="1" applyAlignment="1">
      <alignment horizontal="center" vertical="center"/>
    </xf>
    <xf numFmtId="0" fontId="5" fillId="4" borderId="3" xfId="0" applyFont="1" applyFill="1" applyBorder="1" applyAlignment="1">
      <alignment horizontal="center" vertical="center"/>
    </xf>
    <xf numFmtId="0" fontId="11" fillId="6" borderId="0" xfId="0" applyFont="1" applyFill="1" applyAlignment="1">
      <alignment horizontal="center"/>
    </xf>
    <xf numFmtId="0" fontId="10" fillId="17" borderId="0" xfId="0" applyFont="1" applyFill="1" applyAlignment="1">
      <alignment horizontal="center" vertical="center"/>
    </xf>
    <xf numFmtId="0" fontId="10" fillId="13" borderId="0" xfId="0" applyFont="1" applyFill="1" applyAlignment="1">
      <alignment horizontal="center" vertical="center"/>
    </xf>
    <xf numFmtId="0" fontId="10" fillId="15" borderId="0" xfId="0" applyFont="1" applyFill="1" applyAlignment="1">
      <alignment horizontal="center" vertical="center"/>
    </xf>
    <xf numFmtId="0" fontId="10" fillId="12" borderId="0" xfId="0" applyFont="1" applyFill="1" applyAlignment="1">
      <alignment horizontal="center" vertical="center"/>
    </xf>
    <xf numFmtId="0" fontId="10" fillId="16" borderId="0" xfId="0" applyFont="1" applyFill="1" applyAlignment="1">
      <alignment horizontal="center" vertical="center"/>
    </xf>
    <xf numFmtId="0" fontId="11" fillId="20" borderId="0" xfId="0" applyFont="1" applyFill="1" applyAlignment="1">
      <alignment horizontal="center"/>
    </xf>
    <xf numFmtId="0" fontId="10" fillId="19" borderId="0" xfId="0" applyFont="1" applyFill="1" applyAlignment="1">
      <alignment horizontal="center"/>
    </xf>
    <xf numFmtId="0" fontId="0" fillId="0" borderId="0" xfId="0" applyBorder="1" applyAlignment="1">
      <alignment horizontal="center"/>
    </xf>
    <xf numFmtId="0" fontId="18" fillId="0" borderId="0" xfId="0" applyFont="1" applyBorder="1" applyAlignment="1">
      <alignment horizontal="center"/>
    </xf>
    <xf numFmtId="0" fontId="17" fillId="0" borderId="0" xfId="0" applyFont="1" applyBorder="1" applyAlignment="1">
      <alignment horizontal="center"/>
    </xf>
    <xf numFmtId="0" fontId="6" fillId="0" borderId="15" xfId="0" applyFont="1" applyBorder="1" applyAlignment="1">
      <alignment horizontal="center"/>
    </xf>
    <xf numFmtId="0" fontId="6" fillId="0" borderId="16" xfId="0" applyFont="1" applyBorder="1" applyAlignment="1">
      <alignment horizontal="center"/>
    </xf>
    <xf numFmtId="2" fontId="6" fillId="0" borderId="15" xfId="0" applyNumberFormat="1" applyFont="1" applyBorder="1" applyAlignment="1">
      <alignment horizontal="center" vertical="center"/>
    </xf>
    <xf numFmtId="0" fontId="6" fillId="0" borderId="15" xfId="0" applyFont="1" applyBorder="1" applyAlignment="1">
      <alignment horizontal="center" vertical="center"/>
    </xf>
    <xf numFmtId="2" fontId="6" fillId="0" borderId="18" xfId="0" applyNumberFormat="1" applyFont="1" applyBorder="1" applyAlignment="1">
      <alignment horizontal="center" vertical="center"/>
    </xf>
    <xf numFmtId="2" fontId="6" fillId="0" borderId="15" xfId="0" applyNumberFormat="1" applyFont="1" applyBorder="1" applyAlignment="1">
      <alignment horizontal="center"/>
    </xf>
    <xf numFmtId="0" fontId="16" fillId="0" borderId="0" xfId="0" applyFont="1" applyAlignment="1">
      <alignment horizontal="center"/>
    </xf>
    <xf numFmtId="0" fontId="1" fillId="0" borderId="0" xfId="0" applyFont="1" applyBorder="1" applyAlignment="1">
      <alignment horizontal="center"/>
    </xf>
    <xf numFmtId="0" fontId="7" fillId="0" borderId="0" xfId="0" applyFont="1" applyBorder="1" applyAlignment="1">
      <alignment horizontal="center"/>
    </xf>
    <xf numFmtId="0" fontId="1" fillId="0" borderId="0" xfId="0" applyFont="1" applyAlignment="1">
      <alignment horizontal="center"/>
    </xf>
    <xf numFmtId="0" fontId="1" fillId="0" borderId="12" xfId="0" applyFont="1" applyBorder="1" applyAlignment="1">
      <alignment vertical="justify"/>
    </xf>
    <xf numFmtId="0" fontId="1" fillId="0" borderId="1" xfId="0" applyNumberFormat="1" applyFont="1" applyBorder="1" applyAlignment="1">
      <alignment vertical="justify"/>
    </xf>
    <xf numFmtId="0" fontId="1" fillId="0" borderId="3" xfId="0" applyNumberFormat="1" applyFont="1" applyBorder="1" applyAlignment="1">
      <alignment vertical="justify"/>
    </xf>
    <xf numFmtId="0" fontId="1" fillId="0" borderId="2" xfId="0" applyNumberFormat="1" applyFont="1" applyBorder="1" applyAlignment="1">
      <alignment vertical="justify"/>
    </xf>
    <xf numFmtId="0" fontId="1" fillId="0" borderId="4" xfId="0" applyNumberFormat="1" applyFont="1" applyBorder="1" applyAlignment="1">
      <alignment vertical="justify"/>
    </xf>
    <xf numFmtId="0" fontId="1" fillId="0" borderId="0" xfId="0" applyNumberFormat="1" applyFont="1" applyBorder="1" applyAlignment="1">
      <alignment vertical="justify"/>
    </xf>
    <xf numFmtId="0" fontId="1" fillId="0" borderId="5" xfId="0" applyNumberFormat="1" applyFont="1" applyBorder="1" applyAlignment="1">
      <alignment vertical="justify"/>
    </xf>
    <xf numFmtId="0" fontId="1" fillId="0" borderId="7" xfId="0" applyNumberFormat="1" applyFont="1" applyBorder="1" applyAlignment="1">
      <alignment vertical="justify"/>
    </xf>
    <xf numFmtId="0" fontId="1" fillId="0" borderId="6" xfId="0" applyNumberFormat="1" applyFont="1" applyBorder="1" applyAlignment="1">
      <alignment vertical="justify"/>
    </xf>
    <xf numFmtId="0" fontId="1" fillId="0" borderId="8" xfId="0" applyNumberFormat="1" applyFont="1" applyBorder="1" applyAlignment="1">
      <alignment vertical="justify"/>
    </xf>
    <xf numFmtId="0" fontId="10" fillId="21" borderId="0" xfId="0" applyFont="1" applyFill="1" applyAlignment="1">
      <alignment horizontal="center"/>
    </xf>
    <xf numFmtId="2" fontId="6" fillId="0" borderId="23" xfId="0" applyNumberFormat="1" applyFont="1" applyBorder="1" applyAlignment="1">
      <alignment horizontal="center" vertical="center"/>
    </xf>
    <xf numFmtId="0" fontId="6" fillId="0" borderId="19" xfId="0" applyFont="1" applyBorder="1" applyAlignment="1">
      <alignment horizontal="center" vertical="center"/>
    </xf>
    <xf numFmtId="0" fontId="6" fillId="0" borderId="20" xfId="0" applyFont="1" applyBorder="1" applyAlignment="1">
      <alignment horizontal="center" vertical="center"/>
    </xf>
    <xf numFmtId="0" fontId="6" fillId="0" borderId="21" xfId="0" applyFont="1" applyBorder="1" applyAlignment="1">
      <alignment horizontal="center" vertical="center"/>
    </xf>
    <xf numFmtId="0" fontId="6" fillId="0" borderId="22" xfId="0" applyFont="1" applyBorder="1" applyAlignment="1">
      <alignment horizontal="center" vertical="center"/>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1" fillId="0" borderId="0" xfId="0" applyNumberFormat="1" applyFont="1" applyBorder="1" applyAlignment="1">
      <alignment horizontal="center" vertical="justify"/>
    </xf>
    <xf numFmtId="0" fontId="1" fillId="0" borderId="19" xfId="0" applyFont="1" applyBorder="1" applyAlignment="1">
      <alignment horizontal="center" vertical="center"/>
    </xf>
    <xf numFmtId="0" fontId="1" fillId="0" borderId="21" xfId="0" applyFont="1" applyBorder="1" applyAlignment="1">
      <alignment horizontal="center" vertical="center"/>
    </xf>
    <xf numFmtId="2" fontId="6" fillId="0" borderId="19" xfId="0" applyNumberFormat="1" applyFont="1" applyBorder="1" applyAlignment="1">
      <alignment horizontal="center" vertical="center"/>
    </xf>
    <xf numFmtId="2" fontId="6" fillId="0" borderId="21" xfId="0" applyNumberFormat="1" applyFont="1"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6</xdr:col>
      <xdr:colOff>28575</xdr:colOff>
      <xdr:row>4</xdr:row>
      <xdr:rowOff>85724</xdr:rowOff>
    </xdr:from>
    <xdr:to>
      <xdr:col>8</xdr:col>
      <xdr:colOff>561975</xdr:colOff>
      <xdr:row>8</xdr:row>
      <xdr:rowOff>190499</xdr:rowOff>
    </xdr:to>
    <xdr:pic>
      <xdr:nvPicPr>
        <xdr:cNvPr id="2" name="Picture 1" descr="MIA Prepas_Logo.jpg"/>
        <xdr:cNvPicPr>
          <a:picLocks noChangeAspect="1"/>
        </xdr:cNvPicPr>
      </xdr:nvPicPr>
      <xdr:blipFill>
        <a:blip xmlns:r="http://schemas.openxmlformats.org/officeDocument/2006/relationships" r:embed="rId1" cstate="print"/>
        <a:stretch>
          <a:fillRect/>
        </a:stretch>
      </xdr:blipFill>
      <xdr:spPr>
        <a:xfrm>
          <a:off x="3810000" y="85724"/>
          <a:ext cx="1752600" cy="866775"/>
        </a:xfrm>
        <a:prstGeom prst="rect">
          <a:avLst/>
        </a:prstGeom>
      </xdr:spPr>
    </xdr:pic>
    <xdr:clientData/>
  </xdr:twoCellAnchor>
  <xdr:twoCellAnchor editAs="oneCell">
    <xdr:from>
      <xdr:col>0</xdr:col>
      <xdr:colOff>57149</xdr:colOff>
      <xdr:row>4</xdr:row>
      <xdr:rowOff>57150</xdr:rowOff>
    </xdr:from>
    <xdr:to>
      <xdr:col>1</xdr:col>
      <xdr:colOff>857250</xdr:colOff>
      <xdr:row>8</xdr:row>
      <xdr:rowOff>187737</xdr:rowOff>
    </xdr:to>
    <xdr:pic>
      <xdr:nvPicPr>
        <xdr:cNvPr id="3" name="Picture 2" descr="MIA Group_Logo.jpg"/>
        <xdr:cNvPicPr>
          <a:picLocks noChangeAspect="1"/>
        </xdr:cNvPicPr>
      </xdr:nvPicPr>
      <xdr:blipFill>
        <a:blip xmlns:r="http://schemas.openxmlformats.org/officeDocument/2006/relationships" r:embed="rId2" cstate="print"/>
        <a:stretch>
          <a:fillRect/>
        </a:stretch>
      </xdr:blipFill>
      <xdr:spPr>
        <a:xfrm>
          <a:off x="57149" y="819150"/>
          <a:ext cx="1409701" cy="8925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228601</xdr:colOff>
      <xdr:row>1</xdr:row>
      <xdr:rowOff>19050</xdr:rowOff>
    </xdr:from>
    <xdr:ext cx="5476874" cy="700043"/>
    <xdr:sp macro="" textlink="">
      <xdr:nvSpPr>
        <xdr:cNvPr id="2" name="Rectangle 1"/>
        <xdr:cNvSpPr/>
      </xdr:nvSpPr>
      <xdr:spPr>
        <a:xfrm>
          <a:off x="228601" y="209550"/>
          <a:ext cx="5476874" cy="700043"/>
        </a:xfrm>
        <a:prstGeom prst="rect">
          <a:avLst/>
        </a:prstGeom>
        <a:noFill/>
      </xdr:spPr>
      <xdr:txBody>
        <a:bodyPr wrap="square" lIns="91440" tIns="45720" rIns="91440" bIns="45720">
          <a:prstTxWarp prst="textDeflate">
            <a:avLst/>
          </a:prstTxWarp>
          <a:spAutoFit/>
        </a:bodyPr>
        <a:lstStyle/>
        <a:p>
          <a:pPr algn="ctr"/>
          <a:r>
            <a:rPr lang="en-US" sz="10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rPr>
            <a:t>MODEL INITIATIVE OF AFRICA</a:t>
          </a:r>
        </a:p>
      </xdr:txBody>
    </xdr:sp>
    <xdr:clientData/>
  </xdr:oneCellAnchor>
  <xdr:twoCellAnchor>
    <xdr:from>
      <xdr:col>3</xdr:col>
      <xdr:colOff>19050</xdr:colOff>
      <xdr:row>5</xdr:row>
      <xdr:rowOff>9525</xdr:rowOff>
    </xdr:from>
    <xdr:to>
      <xdr:col>6</xdr:col>
      <xdr:colOff>9525</xdr:colOff>
      <xdr:row>13</xdr:row>
      <xdr:rowOff>0</xdr:rowOff>
    </xdr:to>
    <xdr:sp macro="" textlink="">
      <xdr:nvSpPr>
        <xdr:cNvPr id="3" name="Rectangle 2"/>
        <xdr:cNvSpPr/>
      </xdr:nvSpPr>
      <xdr:spPr>
        <a:xfrm>
          <a:off x="1847850" y="962025"/>
          <a:ext cx="1819275" cy="1514475"/>
        </a:xfrm>
        <a:prstGeom prst="rect">
          <a:avLst/>
        </a:prstGeom>
        <a:blipFill>
          <a:blip xmlns:r="http://schemas.openxmlformats.org/officeDocument/2006/relationships" r:embed="rId1"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6</xdr:col>
      <xdr:colOff>600075</xdr:colOff>
      <xdr:row>9</xdr:row>
      <xdr:rowOff>9525</xdr:rowOff>
    </xdr:from>
    <xdr:to>
      <xdr:col>8</xdr:col>
      <xdr:colOff>600075</xdr:colOff>
      <xdr:row>13</xdr:row>
      <xdr:rowOff>0</xdr:rowOff>
    </xdr:to>
    <xdr:sp macro="" textlink="">
      <xdr:nvSpPr>
        <xdr:cNvPr id="4" name="Rectangle 3"/>
        <xdr:cNvSpPr/>
      </xdr:nvSpPr>
      <xdr:spPr>
        <a:xfrm>
          <a:off x="4257675" y="1724025"/>
          <a:ext cx="1219200" cy="752475"/>
        </a:xfrm>
        <a:prstGeom prst="rect">
          <a:avLst/>
        </a:prstGeom>
        <a:blipFill>
          <a:blip xmlns:r="http://schemas.openxmlformats.org/officeDocument/2006/relationships" r:embed="rId2"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0</xdr:col>
      <xdr:colOff>28575</xdr:colOff>
      <xdr:row>9</xdr:row>
      <xdr:rowOff>0</xdr:rowOff>
    </xdr:from>
    <xdr:to>
      <xdr:col>2</xdr:col>
      <xdr:colOff>28575</xdr:colOff>
      <xdr:row>12</xdr:row>
      <xdr:rowOff>180975</xdr:rowOff>
    </xdr:to>
    <xdr:sp macro="" textlink="">
      <xdr:nvSpPr>
        <xdr:cNvPr id="5" name="Rectangle 4"/>
        <xdr:cNvSpPr/>
      </xdr:nvSpPr>
      <xdr:spPr>
        <a:xfrm>
          <a:off x="28575" y="1714500"/>
          <a:ext cx="1219200" cy="752475"/>
        </a:xfrm>
        <a:prstGeom prst="rect">
          <a:avLst/>
        </a:prstGeom>
        <a:blipFill>
          <a:blip xmlns:r="http://schemas.openxmlformats.org/officeDocument/2006/relationships" r:embed="rId3"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228601</xdr:colOff>
      <xdr:row>1</xdr:row>
      <xdr:rowOff>19050</xdr:rowOff>
    </xdr:from>
    <xdr:ext cx="5476874" cy="700043"/>
    <xdr:sp macro="" textlink="">
      <xdr:nvSpPr>
        <xdr:cNvPr id="2" name="Rectangle 1"/>
        <xdr:cNvSpPr/>
      </xdr:nvSpPr>
      <xdr:spPr>
        <a:xfrm>
          <a:off x="228601" y="209550"/>
          <a:ext cx="5476874" cy="700043"/>
        </a:xfrm>
        <a:prstGeom prst="rect">
          <a:avLst/>
        </a:prstGeom>
        <a:noFill/>
      </xdr:spPr>
      <xdr:txBody>
        <a:bodyPr wrap="square" lIns="91440" tIns="45720" rIns="91440" bIns="45720">
          <a:prstTxWarp prst="textDeflate">
            <a:avLst/>
          </a:prstTxWarp>
          <a:spAutoFit/>
        </a:bodyPr>
        <a:lstStyle/>
        <a:p>
          <a:pPr algn="ctr"/>
          <a:r>
            <a:rPr lang="en-US" sz="10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rPr>
            <a:t>MODEL INITIATIVE OF AFRICA</a:t>
          </a:r>
        </a:p>
      </xdr:txBody>
    </xdr:sp>
    <xdr:clientData/>
  </xdr:oneCellAnchor>
  <xdr:twoCellAnchor>
    <xdr:from>
      <xdr:col>3</xdr:col>
      <xdr:colOff>19050</xdr:colOff>
      <xdr:row>5</xdr:row>
      <xdr:rowOff>9525</xdr:rowOff>
    </xdr:from>
    <xdr:to>
      <xdr:col>6</xdr:col>
      <xdr:colOff>9525</xdr:colOff>
      <xdr:row>13</xdr:row>
      <xdr:rowOff>0</xdr:rowOff>
    </xdr:to>
    <xdr:sp macro="" textlink="">
      <xdr:nvSpPr>
        <xdr:cNvPr id="3" name="Rectangle 2"/>
        <xdr:cNvSpPr/>
      </xdr:nvSpPr>
      <xdr:spPr>
        <a:xfrm>
          <a:off x="1847850" y="962025"/>
          <a:ext cx="1819275" cy="1514475"/>
        </a:xfrm>
        <a:prstGeom prst="rect">
          <a:avLst/>
        </a:prstGeom>
        <a:blipFill>
          <a:blip xmlns:r="http://schemas.openxmlformats.org/officeDocument/2006/relationships" r:embed="rId1"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6</xdr:col>
      <xdr:colOff>600075</xdr:colOff>
      <xdr:row>9</xdr:row>
      <xdr:rowOff>9525</xdr:rowOff>
    </xdr:from>
    <xdr:to>
      <xdr:col>8</xdr:col>
      <xdr:colOff>600075</xdr:colOff>
      <xdr:row>13</xdr:row>
      <xdr:rowOff>0</xdr:rowOff>
    </xdr:to>
    <xdr:sp macro="" textlink="">
      <xdr:nvSpPr>
        <xdr:cNvPr id="4" name="Rectangle 3"/>
        <xdr:cNvSpPr/>
      </xdr:nvSpPr>
      <xdr:spPr>
        <a:xfrm>
          <a:off x="4257675" y="1724025"/>
          <a:ext cx="1276350" cy="752475"/>
        </a:xfrm>
        <a:prstGeom prst="rect">
          <a:avLst/>
        </a:prstGeom>
        <a:blipFill>
          <a:blip xmlns:r="http://schemas.openxmlformats.org/officeDocument/2006/relationships" r:embed="rId2"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0</xdr:col>
      <xdr:colOff>28575</xdr:colOff>
      <xdr:row>9</xdr:row>
      <xdr:rowOff>0</xdr:rowOff>
    </xdr:from>
    <xdr:to>
      <xdr:col>2</xdr:col>
      <xdr:colOff>28575</xdr:colOff>
      <xdr:row>12</xdr:row>
      <xdr:rowOff>180975</xdr:rowOff>
    </xdr:to>
    <xdr:sp macro="" textlink="">
      <xdr:nvSpPr>
        <xdr:cNvPr id="5" name="Rectangle 4"/>
        <xdr:cNvSpPr/>
      </xdr:nvSpPr>
      <xdr:spPr>
        <a:xfrm>
          <a:off x="28575" y="1714500"/>
          <a:ext cx="1219200" cy="752475"/>
        </a:xfrm>
        <a:prstGeom prst="rect">
          <a:avLst/>
        </a:prstGeom>
        <a:blipFill>
          <a:blip xmlns:r="http://schemas.openxmlformats.org/officeDocument/2006/relationships" r:embed="rId3" cstate="prin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ayroll&amp;paysli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4"/>
    </sheetNames>
    <sheetDataSet>
      <sheetData sheetId="0">
        <row r="2">
          <cell r="B2" t="str">
            <v>SS1001</v>
          </cell>
          <cell r="C2" t="str">
            <v>Jack Ma</v>
          </cell>
          <cell r="D2" t="str">
            <v>Food</v>
          </cell>
          <cell r="E2">
            <v>2000</v>
          </cell>
          <cell r="F2">
            <v>300</v>
          </cell>
          <cell r="G2">
            <v>250</v>
          </cell>
          <cell r="H2">
            <v>140</v>
          </cell>
          <cell r="I2">
            <v>2690</v>
          </cell>
          <cell r="J2">
            <v>150</v>
          </cell>
          <cell r="K2">
            <v>160</v>
          </cell>
          <cell r="L2">
            <v>310</v>
          </cell>
          <cell r="M2">
            <v>2380</v>
          </cell>
          <cell r="N2" t="str">
            <v>First Bank</v>
          </cell>
          <cell r="O2" t="str">
            <v>SS98746999</v>
          </cell>
          <cell r="P2" t="str">
            <v>Jack</v>
          </cell>
        </row>
        <row r="3">
          <cell r="B3" t="str">
            <v>SS1002</v>
          </cell>
          <cell r="C3" t="str">
            <v>Mike Pence</v>
          </cell>
          <cell r="D3" t="str">
            <v>Marketing</v>
          </cell>
          <cell r="E3">
            <v>2500</v>
          </cell>
          <cell r="F3">
            <v>375</v>
          </cell>
          <cell r="G3">
            <v>312.5</v>
          </cell>
          <cell r="H3">
            <v>175</v>
          </cell>
          <cell r="I3">
            <v>3362.5</v>
          </cell>
          <cell r="J3">
            <v>187.5</v>
          </cell>
          <cell r="K3">
            <v>200</v>
          </cell>
          <cell r="L3">
            <v>387.5</v>
          </cell>
          <cell r="M3">
            <v>2975</v>
          </cell>
          <cell r="N3" t="str">
            <v>UBA</v>
          </cell>
          <cell r="O3" t="str">
            <v>SS98747000</v>
          </cell>
          <cell r="P3" t="str">
            <v>Mike</v>
          </cell>
        </row>
        <row r="4">
          <cell r="B4" t="str">
            <v>SS1003</v>
          </cell>
          <cell r="C4" t="str">
            <v>Mark Dike</v>
          </cell>
          <cell r="D4" t="str">
            <v>Publicity</v>
          </cell>
          <cell r="E4">
            <v>2000</v>
          </cell>
          <cell r="F4">
            <v>300</v>
          </cell>
          <cell r="G4">
            <v>250</v>
          </cell>
          <cell r="H4">
            <v>140</v>
          </cell>
          <cell r="I4">
            <v>2690</v>
          </cell>
          <cell r="J4">
            <v>150</v>
          </cell>
          <cell r="K4">
            <v>160</v>
          </cell>
          <cell r="L4">
            <v>310</v>
          </cell>
          <cell r="M4">
            <v>2380</v>
          </cell>
          <cell r="N4" t="str">
            <v>NFC</v>
          </cell>
          <cell r="O4" t="str">
            <v>SS98747001</v>
          </cell>
          <cell r="P4" t="str">
            <v>Mark</v>
          </cell>
        </row>
        <row r="5">
          <cell r="B5" t="str">
            <v>SS1004</v>
          </cell>
          <cell r="C5" t="str">
            <v>Luke Slim</v>
          </cell>
          <cell r="D5" t="str">
            <v>Drinks</v>
          </cell>
          <cell r="E5">
            <v>3000</v>
          </cell>
          <cell r="F5">
            <v>450</v>
          </cell>
          <cell r="G5">
            <v>375</v>
          </cell>
          <cell r="H5">
            <v>210</v>
          </cell>
          <cell r="I5">
            <v>4035</v>
          </cell>
          <cell r="J5">
            <v>225</v>
          </cell>
          <cell r="K5">
            <v>240</v>
          </cell>
          <cell r="L5">
            <v>465</v>
          </cell>
          <cell r="M5">
            <v>3570</v>
          </cell>
          <cell r="N5" t="str">
            <v>UBA</v>
          </cell>
          <cell r="O5" t="str">
            <v>SS98747002</v>
          </cell>
          <cell r="P5" t="str">
            <v>Luke</v>
          </cell>
        </row>
        <row r="6">
          <cell r="B6" t="str">
            <v>SS1005</v>
          </cell>
          <cell r="C6" t="str">
            <v>Don Paul</v>
          </cell>
          <cell r="D6" t="str">
            <v>Food</v>
          </cell>
          <cell r="E6">
            <v>2800</v>
          </cell>
          <cell r="F6">
            <v>420</v>
          </cell>
          <cell r="G6">
            <v>350</v>
          </cell>
          <cell r="H6">
            <v>196</v>
          </cell>
          <cell r="I6">
            <v>3766</v>
          </cell>
          <cell r="J6">
            <v>210</v>
          </cell>
          <cell r="K6">
            <v>224</v>
          </cell>
          <cell r="L6">
            <v>434</v>
          </cell>
          <cell r="M6">
            <v>3332</v>
          </cell>
          <cell r="N6" t="str">
            <v>Ecobank</v>
          </cell>
          <cell r="O6" t="str">
            <v>SS98747003</v>
          </cell>
          <cell r="P6" t="str">
            <v>Don</v>
          </cell>
        </row>
        <row r="7">
          <cell r="B7" t="str">
            <v>SS1006</v>
          </cell>
          <cell r="C7" t="str">
            <v>Pert Joy</v>
          </cell>
          <cell r="D7" t="str">
            <v>Transport</v>
          </cell>
          <cell r="E7">
            <v>2400</v>
          </cell>
          <cell r="F7">
            <v>360</v>
          </cell>
          <cell r="G7">
            <v>300</v>
          </cell>
          <cell r="H7">
            <v>168</v>
          </cell>
          <cell r="I7">
            <v>3228</v>
          </cell>
          <cell r="J7">
            <v>180</v>
          </cell>
          <cell r="K7">
            <v>192</v>
          </cell>
          <cell r="L7">
            <v>372</v>
          </cell>
          <cell r="M7">
            <v>2856</v>
          </cell>
          <cell r="N7" t="str">
            <v>SGBC</v>
          </cell>
          <cell r="O7" t="str">
            <v>SS98747004</v>
          </cell>
          <cell r="P7" t="str">
            <v>Pert</v>
          </cell>
        </row>
        <row r="8">
          <cell r="B8" t="str">
            <v>SS1007</v>
          </cell>
          <cell r="C8" t="str">
            <v>Danny Mani</v>
          </cell>
          <cell r="D8" t="str">
            <v>Health</v>
          </cell>
          <cell r="E8">
            <v>3200</v>
          </cell>
          <cell r="F8">
            <v>480</v>
          </cell>
          <cell r="G8">
            <v>400</v>
          </cell>
          <cell r="H8">
            <v>224</v>
          </cell>
          <cell r="I8">
            <v>4304</v>
          </cell>
          <cell r="J8">
            <v>240</v>
          </cell>
          <cell r="K8">
            <v>256</v>
          </cell>
          <cell r="L8">
            <v>496</v>
          </cell>
          <cell r="M8">
            <v>3808</v>
          </cell>
          <cell r="N8" t="str">
            <v>First Bank</v>
          </cell>
          <cell r="O8" t="str">
            <v>SS98747005</v>
          </cell>
          <cell r="P8" t="str">
            <v>Danny</v>
          </cell>
        </row>
        <row r="9">
          <cell r="B9" t="str">
            <v>SS1008</v>
          </cell>
          <cell r="C9" t="str">
            <v>Sadio Mane</v>
          </cell>
          <cell r="D9" t="str">
            <v>Education</v>
          </cell>
          <cell r="E9">
            <v>4000</v>
          </cell>
          <cell r="F9">
            <v>600</v>
          </cell>
          <cell r="G9">
            <v>500</v>
          </cell>
          <cell r="H9">
            <v>280</v>
          </cell>
          <cell r="I9">
            <v>5380</v>
          </cell>
          <cell r="J9">
            <v>300</v>
          </cell>
          <cell r="K9">
            <v>320</v>
          </cell>
          <cell r="L9">
            <v>620</v>
          </cell>
          <cell r="M9">
            <v>4760</v>
          </cell>
          <cell r="N9" t="str">
            <v>NFC</v>
          </cell>
          <cell r="O9" t="str">
            <v>SS98747006</v>
          </cell>
          <cell r="P9" t="str">
            <v>Sadio</v>
          </cell>
        </row>
        <row r="10">
          <cell r="B10" t="str">
            <v>SS1009</v>
          </cell>
          <cell r="C10" t="str">
            <v>Mo Salah</v>
          </cell>
          <cell r="D10" t="str">
            <v>Network</v>
          </cell>
          <cell r="E10">
            <v>3000</v>
          </cell>
          <cell r="F10">
            <v>450</v>
          </cell>
          <cell r="G10">
            <v>375</v>
          </cell>
          <cell r="H10">
            <v>210</v>
          </cell>
          <cell r="I10">
            <v>4035</v>
          </cell>
          <cell r="J10">
            <v>225</v>
          </cell>
          <cell r="K10">
            <v>240</v>
          </cell>
          <cell r="L10">
            <v>465</v>
          </cell>
          <cell r="M10">
            <v>3570</v>
          </cell>
          <cell r="N10" t="str">
            <v>BICEC</v>
          </cell>
          <cell r="O10" t="str">
            <v>SS98747007</v>
          </cell>
          <cell r="P10" t="str">
            <v>Mo</v>
          </cell>
        </row>
        <row r="11">
          <cell r="B11" t="str">
            <v>SS1010</v>
          </cell>
          <cell r="C11" t="str">
            <v>Leo Messi</v>
          </cell>
          <cell r="D11" t="str">
            <v>Transport</v>
          </cell>
          <cell r="E11">
            <v>3500</v>
          </cell>
          <cell r="F11">
            <v>525</v>
          </cell>
          <cell r="G11">
            <v>437.5</v>
          </cell>
          <cell r="H11">
            <v>245</v>
          </cell>
          <cell r="I11">
            <v>4707.5</v>
          </cell>
          <cell r="J11">
            <v>262.5</v>
          </cell>
          <cell r="K11">
            <v>280</v>
          </cell>
          <cell r="L11">
            <v>542.5</v>
          </cell>
          <cell r="M11">
            <v>4165</v>
          </cell>
          <cell r="N11" t="str">
            <v>UBA</v>
          </cell>
          <cell r="O11" t="str">
            <v>SS98747008</v>
          </cell>
          <cell r="P11" t="str">
            <v>Leo</v>
          </cell>
        </row>
        <row r="12">
          <cell r="B12" t="str">
            <v>SS1011</v>
          </cell>
          <cell r="C12" t="str">
            <v>Luiz Benz</v>
          </cell>
          <cell r="D12" t="str">
            <v>Food</v>
          </cell>
          <cell r="E12">
            <v>2700</v>
          </cell>
          <cell r="F12">
            <v>405</v>
          </cell>
          <cell r="G12">
            <v>337.5</v>
          </cell>
          <cell r="H12">
            <v>189</v>
          </cell>
          <cell r="I12">
            <v>3631.5</v>
          </cell>
          <cell r="J12">
            <v>202.5</v>
          </cell>
          <cell r="K12">
            <v>216</v>
          </cell>
          <cell r="L12">
            <v>418.5</v>
          </cell>
          <cell r="M12">
            <v>3213</v>
          </cell>
          <cell r="N12" t="str">
            <v>SGBC</v>
          </cell>
          <cell r="O12" t="str">
            <v>SS98747009</v>
          </cell>
          <cell r="P12" t="str">
            <v>Luiz</v>
          </cell>
        </row>
        <row r="13">
          <cell r="B13" t="str">
            <v>SS1012</v>
          </cell>
          <cell r="C13" t="str">
            <v>Melo Arthur</v>
          </cell>
          <cell r="D13" t="str">
            <v>Publicity</v>
          </cell>
          <cell r="E13">
            <v>3000</v>
          </cell>
          <cell r="F13">
            <v>450</v>
          </cell>
          <cell r="G13">
            <v>375</v>
          </cell>
          <cell r="H13">
            <v>210</v>
          </cell>
          <cell r="I13">
            <v>4035</v>
          </cell>
          <cell r="J13">
            <v>225</v>
          </cell>
          <cell r="K13">
            <v>240</v>
          </cell>
          <cell r="L13">
            <v>465</v>
          </cell>
          <cell r="M13">
            <v>3570</v>
          </cell>
          <cell r="N13" t="str">
            <v>BICEC</v>
          </cell>
          <cell r="O13" t="str">
            <v>SS98747010</v>
          </cell>
          <cell r="P13" t="str">
            <v>Melo</v>
          </cell>
        </row>
        <row r="14">
          <cell r="B14" t="str">
            <v>SS1013</v>
          </cell>
          <cell r="C14" t="str">
            <v>King Arthur</v>
          </cell>
          <cell r="D14" t="str">
            <v>Drinks</v>
          </cell>
          <cell r="E14">
            <v>4000</v>
          </cell>
          <cell r="F14">
            <v>600</v>
          </cell>
          <cell r="G14">
            <v>500</v>
          </cell>
          <cell r="H14">
            <v>280</v>
          </cell>
          <cell r="I14">
            <v>5380</v>
          </cell>
          <cell r="J14">
            <v>300</v>
          </cell>
          <cell r="K14">
            <v>320</v>
          </cell>
          <cell r="L14">
            <v>620</v>
          </cell>
          <cell r="M14">
            <v>4760</v>
          </cell>
          <cell r="N14" t="str">
            <v>First Bank</v>
          </cell>
          <cell r="O14" t="str">
            <v>SS98747011</v>
          </cell>
          <cell r="P14" t="str">
            <v>King</v>
          </cell>
        </row>
        <row r="15">
          <cell r="B15" t="str">
            <v>SS1014</v>
          </cell>
          <cell r="C15" t="str">
            <v>Segio Busz</v>
          </cell>
          <cell r="D15" t="str">
            <v>Health</v>
          </cell>
          <cell r="E15">
            <v>3000</v>
          </cell>
          <cell r="F15">
            <v>450</v>
          </cell>
          <cell r="G15">
            <v>375</v>
          </cell>
          <cell r="H15">
            <v>210</v>
          </cell>
          <cell r="I15">
            <v>4035</v>
          </cell>
          <cell r="J15">
            <v>225</v>
          </cell>
          <cell r="K15">
            <v>240</v>
          </cell>
          <cell r="L15">
            <v>465</v>
          </cell>
          <cell r="M15">
            <v>3570</v>
          </cell>
          <cell r="N15" t="str">
            <v>BICEC</v>
          </cell>
          <cell r="O15" t="str">
            <v>SS98747012</v>
          </cell>
          <cell r="P15" t="str">
            <v>Segio</v>
          </cell>
        </row>
        <row r="16">
          <cell r="B16" t="str">
            <v>SS1015</v>
          </cell>
          <cell r="C16" t="str">
            <v>Nelson Marc</v>
          </cell>
          <cell r="D16" t="str">
            <v>Marketing</v>
          </cell>
          <cell r="E16">
            <v>4500</v>
          </cell>
          <cell r="F16">
            <v>675</v>
          </cell>
          <cell r="G16">
            <v>562.5</v>
          </cell>
          <cell r="H16">
            <v>315</v>
          </cell>
          <cell r="I16">
            <v>6052.5</v>
          </cell>
          <cell r="J16">
            <v>337.5</v>
          </cell>
          <cell r="K16">
            <v>360</v>
          </cell>
          <cell r="L16">
            <v>697.5</v>
          </cell>
          <cell r="M16">
            <v>5355</v>
          </cell>
          <cell r="N16" t="str">
            <v>Ecobank</v>
          </cell>
          <cell r="O16" t="str">
            <v>SS98747013</v>
          </cell>
          <cell r="P16" t="str">
            <v>Nelson</v>
          </cell>
        </row>
        <row r="17">
          <cell r="B17" t="str">
            <v>SS1016</v>
          </cell>
          <cell r="C17" t="str">
            <v>Dan Rose</v>
          </cell>
          <cell r="D17" t="str">
            <v>Education</v>
          </cell>
          <cell r="E17">
            <v>5000</v>
          </cell>
          <cell r="F17">
            <v>750</v>
          </cell>
          <cell r="G17">
            <v>625</v>
          </cell>
          <cell r="H17">
            <v>350</v>
          </cell>
          <cell r="I17">
            <v>6725</v>
          </cell>
          <cell r="J17">
            <v>375</v>
          </cell>
          <cell r="K17">
            <v>400</v>
          </cell>
          <cell r="L17">
            <v>775</v>
          </cell>
          <cell r="M17">
            <v>5950</v>
          </cell>
          <cell r="N17" t="str">
            <v>BICEC</v>
          </cell>
          <cell r="O17" t="str">
            <v>SS98747014</v>
          </cell>
          <cell r="P17" t="str">
            <v>Dan</v>
          </cell>
        </row>
        <row r="18">
          <cell r="B18" t="str">
            <v>SS1017</v>
          </cell>
          <cell r="C18" t="str">
            <v>Chris Small</v>
          </cell>
          <cell r="D18" t="str">
            <v>Network</v>
          </cell>
          <cell r="E18">
            <v>3500</v>
          </cell>
          <cell r="F18">
            <v>525</v>
          </cell>
          <cell r="G18">
            <v>437.5</v>
          </cell>
          <cell r="H18">
            <v>245</v>
          </cell>
          <cell r="I18">
            <v>4707.5</v>
          </cell>
          <cell r="J18">
            <v>262.5</v>
          </cell>
          <cell r="K18">
            <v>280</v>
          </cell>
          <cell r="L18">
            <v>542.5</v>
          </cell>
          <cell r="M18">
            <v>4165</v>
          </cell>
          <cell r="N18" t="str">
            <v>Ecobank</v>
          </cell>
          <cell r="O18" t="str">
            <v>SS98747015</v>
          </cell>
          <cell r="P18" t="str">
            <v>Chris</v>
          </cell>
        </row>
        <row r="19">
          <cell r="B19" t="str">
            <v>SS1018</v>
          </cell>
          <cell r="C19" t="str">
            <v>Ter Stegen</v>
          </cell>
          <cell r="D19" t="str">
            <v>Transport</v>
          </cell>
          <cell r="E19">
            <v>2500</v>
          </cell>
          <cell r="F19">
            <v>375</v>
          </cell>
          <cell r="G19">
            <v>312.5</v>
          </cell>
          <cell r="H19">
            <v>175</v>
          </cell>
          <cell r="I19">
            <v>3362.5</v>
          </cell>
          <cell r="J19">
            <v>187.5</v>
          </cell>
          <cell r="K19">
            <v>200</v>
          </cell>
          <cell r="L19">
            <v>387.5</v>
          </cell>
          <cell r="M19">
            <v>2975</v>
          </cell>
          <cell r="N19" t="str">
            <v>NFC</v>
          </cell>
          <cell r="O19" t="str">
            <v>SS98747016</v>
          </cell>
          <cell r="P19" t="str">
            <v>Ter</v>
          </cell>
        </row>
        <row r="20">
          <cell r="B20" t="str">
            <v>SS1019</v>
          </cell>
          <cell r="C20" t="str">
            <v>Titi Um</v>
          </cell>
          <cell r="D20" t="str">
            <v>Publicity</v>
          </cell>
          <cell r="E20">
            <v>4000</v>
          </cell>
          <cell r="F20">
            <v>600</v>
          </cell>
          <cell r="G20">
            <v>500</v>
          </cell>
          <cell r="H20">
            <v>280</v>
          </cell>
          <cell r="I20">
            <v>5380</v>
          </cell>
          <cell r="J20">
            <v>300</v>
          </cell>
          <cell r="K20">
            <v>320</v>
          </cell>
          <cell r="L20">
            <v>620</v>
          </cell>
          <cell r="M20">
            <v>4760</v>
          </cell>
          <cell r="N20" t="str">
            <v>UBA</v>
          </cell>
          <cell r="O20" t="str">
            <v>SS98747017</v>
          </cell>
          <cell r="P20" t="str">
            <v>Titi</v>
          </cell>
        </row>
        <row r="21">
          <cell r="B21" t="str">
            <v>SS1020</v>
          </cell>
          <cell r="C21" t="str">
            <v>Dembouz Li</v>
          </cell>
          <cell r="D21" t="str">
            <v>Food</v>
          </cell>
          <cell r="E21">
            <v>5000</v>
          </cell>
          <cell r="F21">
            <v>750</v>
          </cell>
          <cell r="G21">
            <v>625</v>
          </cell>
          <cell r="H21">
            <v>350</v>
          </cell>
          <cell r="I21">
            <v>6725</v>
          </cell>
          <cell r="J21">
            <v>375</v>
          </cell>
          <cell r="K21">
            <v>400</v>
          </cell>
          <cell r="L21">
            <v>775</v>
          </cell>
          <cell r="M21">
            <v>5950</v>
          </cell>
          <cell r="N21" t="str">
            <v>Ecobank</v>
          </cell>
          <cell r="O21" t="str">
            <v>SS98747018</v>
          </cell>
          <cell r="P21" t="str">
            <v>Dembouz</v>
          </cell>
        </row>
      </sheetData>
      <sheetData sheetId="1" refreshError="1"/>
      <sheetData sheetId="2" refreshError="1"/>
      <sheetData sheetId="3"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5"/>
  <sheetViews>
    <sheetView workbookViewId="0">
      <selection activeCell="E17" sqref="E17"/>
    </sheetView>
  </sheetViews>
  <sheetFormatPr baseColWidth="10" defaultColWidth="9.140625" defaultRowHeight="15" x14ac:dyDescent="0.25"/>
  <cols>
    <col min="1" max="1" width="18" customWidth="1"/>
    <col min="3" max="3" width="13.140625" customWidth="1"/>
    <col min="4" max="4" width="17.7109375" customWidth="1"/>
    <col min="5" max="5" width="17.42578125" customWidth="1"/>
    <col min="7" max="7" width="13.5703125" customWidth="1"/>
    <col min="8" max="8" width="11.42578125" customWidth="1"/>
    <col min="9" max="9" width="12" customWidth="1"/>
    <col min="10" max="10" width="11.140625" customWidth="1"/>
    <col min="11" max="11" width="16.140625" customWidth="1"/>
    <col min="12" max="12" width="11.42578125" customWidth="1"/>
    <col min="14" max="14" width="5.85546875" customWidth="1"/>
    <col min="15" max="15" width="6.140625" customWidth="1"/>
    <col min="16" max="16" width="5.42578125" customWidth="1"/>
    <col min="17" max="17" width="7.140625" customWidth="1"/>
    <col min="18" max="18" width="25.28515625" style="4" customWidth="1"/>
    <col min="19" max="19" width="10.140625" style="4" customWidth="1"/>
    <col min="20" max="20" width="13" customWidth="1"/>
    <col min="21" max="21" width="12.7109375" customWidth="1"/>
    <col min="22" max="22" width="11" customWidth="1"/>
    <col min="23" max="23" width="16.7109375" customWidth="1"/>
    <col min="24" max="24" width="13.7109375" customWidth="1"/>
    <col min="25" max="25" width="20.5703125" customWidth="1"/>
    <col min="26" max="26" width="18.42578125" customWidth="1"/>
  </cols>
  <sheetData>
    <row r="1" spans="1:27" ht="23.25" customHeight="1" x14ac:dyDescent="0.25">
      <c r="A1" s="34" t="s">
        <v>39</v>
      </c>
      <c r="B1" s="34"/>
      <c r="C1" s="34"/>
      <c r="D1" s="34"/>
      <c r="E1" s="34"/>
      <c r="F1" s="34"/>
      <c r="G1" s="34"/>
      <c r="H1" s="34"/>
      <c r="I1" s="34"/>
      <c r="J1" s="34"/>
      <c r="K1" s="34"/>
      <c r="L1" s="34"/>
      <c r="M1" s="34"/>
      <c r="N1" s="34"/>
      <c r="O1" s="34"/>
      <c r="P1" s="34"/>
      <c r="Q1" s="34"/>
      <c r="R1" s="34"/>
      <c r="S1" s="34"/>
      <c r="T1" s="34"/>
      <c r="U1" s="34"/>
      <c r="V1" s="34"/>
      <c r="W1" s="34"/>
      <c r="X1" s="34"/>
      <c r="Y1" s="34"/>
      <c r="Z1" s="34"/>
      <c r="AA1" s="34"/>
    </row>
    <row r="2" spans="1:27" s="5" customFormat="1" ht="23.25" x14ac:dyDescent="0.25">
      <c r="A2" s="35" t="s">
        <v>64</v>
      </c>
      <c r="B2" s="35"/>
      <c r="C2" s="35"/>
      <c r="D2" s="35"/>
      <c r="E2" s="35"/>
      <c r="F2" s="35"/>
      <c r="G2" s="35"/>
      <c r="H2" s="35"/>
      <c r="I2" s="35"/>
      <c r="J2" s="35"/>
      <c r="K2" s="35"/>
      <c r="L2" s="37" t="s">
        <v>66</v>
      </c>
      <c r="M2" s="37"/>
      <c r="N2" s="37"/>
      <c r="O2" s="37"/>
      <c r="P2" s="37"/>
      <c r="Q2" s="37"/>
      <c r="R2" s="38"/>
      <c r="S2" s="38"/>
      <c r="T2" s="36" t="s">
        <v>65</v>
      </c>
      <c r="U2" s="36"/>
      <c r="V2" s="36"/>
      <c r="W2" s="36"/>
      <c r="X2" s="36"/>
      <c r="Y2" s="36"/>
      <c r="Z2" s="36"/>
      <c r="AA2" s="36"/>
    </row>
    <row r="3" spans="1:27" x14ac:dyDescent="0.25">
      <c r="A3" s="6" t="s">
        <v>40</v>
      </c>
      <c r="B3" s="6" t="s">
        <v>62</v>
      </c>
      <c r="C3" s="6" t="s">
        <v>63</v>
      </c>
      <c r="D3" s="6" t="s">
        <v>41</v>
      </c>
      <c r="E3" s="6" t="s">
        <v>42</v>
      </c>
      <c r="F3" s="6" t="s">
        <v>43</v>
      </c>
      <c r="G3" s="6" t="s">
        <v>44</v>
      </c>
      <c r="H3" s="6" t="s">
        <v>45</v>
      </c>
      <c r="I3" s="6" t="s">
        <v>46</v>
      </c>
      <c r="J3" s="6" t="s">
        <v>47</v>
      </c>
      <c r="K3" s="6" t="s">
        <v>48</v>
      </c>
      <c r="L3" s="7" t="s">
        <v>49</v>
      </c>
      <c r="M3" s="7" t="s">
        <v>50</v>
      </c>
      <c r="N3" s="7" t="s">
        <v>51</v>
      </c>
      <c r="O3" s="7" t="s">
        <v>52</v>
      </c>
      <c r="P3" s="7" t="s">
        <v>53</v>
      </c>
      <c r="Q3" s="7" t="s">
        <v>68</v>
      </c>
      <c r="R3" s="7" t="s">
        <v>163</v>
      </c>
      <c r="S3" s="7" t="s">
        <v>164</v>
      </c>
      <c r="T3" s="8" t="s">
        <v>54</v>
      </c>
      <c r="U3" s="8" t="s">
        <v>55</v>
      </c>
      <c r="V3" s="8" t="s">
        <v>56</v>
      </c>
      <c r="W3" s="8" t="s">
        <v>59</v>
      </c>
      <c r="X3" s="8" t="s">
        <v>57</v>
      </c>
      <c r="Y3" s="8" t="s">
        <v>58</v>
      </c>
      <c r="Z3" s="8" t="s">
        <v>60</v>
      </c>
      <c r="AA3" s="8" t="s">
        <v>61</v>
      </c>
    </row>
    <row r="4" spans="1:27" s="4" customFormat="1" x14ac:dyDescent="0.25">
      <c r="A4" s="6"/>
      <c r="B4" s="6"/>
      <c r="C4" s="6"/>
      <c r="D4" s="6"/>
      <c r="E4" s="6"/>
      <c r="F4" s="6"/>
      <c r="G4" s="6"/>
      <c r="H4" s="6"/>
      <c r="I4" s="6"/>
      <c r="J4" s="6"/>
      <c r="K4" s="6"/>
      <c r="L4" s="7"/>
      <c r="M4" s="7"/>
      <c r="N4" s="7"/>
      <c r="O4" s="7"/>
      <c r="P4" s="7"/>
      <c r="Q4" s="7"/>
      <c r="R4" s="7"/>
      <c r="S4" s="7"/>
      <c r="T4" s="8"/>
      <c r="U4" s="8"/>
      <c r="V4" s="8"/>
      <c r="W4" s="8"/>
      <c r="X4" s="8"/>
      <c r="Y4" s="8"/>
      <c r="Z4" s="8"/>
      <c r="AA4" s="8"/>
    </row>
    <row r="5" spans="1:27" x14ac:dyDescent="0.25">
      <c r="A5" s="4" t="s">
        <v>166</v>
      </c>
      <c r="B5" s="4" t="s">
        <v>174</v>
      </c>
      <c r="C5" s="4" t="s">
        <v>175</v>
      </c>
      <c r="D5" s="4" t="s">
        <v>173</v>
      </c>
      <c r="E5" s="4" t="s">
        <v>167</v>
      </c>
      <c r="F5" s="4" t="s">
        <v>168</v>
      </c>
      <c r="G5" s="4" t="s">
        <v>165</v>
      </c>
      <c r="H5" s="4" t="s">
        <v>71</v>
      </c>
      <c r="I5" s="4" t="s">
        <v>169</v>
      </c>
      <c r="J5" s="4" t="s">
        <v>170</v>
      </c>
      <c r="K5" s="4" t="s">
        <v>171</v>
      </c>
      <c r="L5" s="4" t="s">
        <v>99</v>
      </c>
      <c r="M5" s="4" t="s">
        <v>99</v>
      </c>
      <c r="N5" s="4" t="s">
        <v>99</v>
      </c>
      <c r="O5" s="4" t="s">
        <v>99</v>
      </c>
      <c r="P5" s="4" t="s">
        <v>99</v>
      </c>
      <c r="Q5">
        <v>3</v>
      </c>
      <c r="R5" s="4" t="s">
        <v>176</v>
      </c>
      <c r="S5" s="4">
        <v>4</v>
      </c>
      <c r="T5">
        <v>2500</v>
      </c>
      <c r="U5">
        <v>15</v>
      </c>
      <c r="V5">
        <v>37500</v>
      </c>
      <c r="W5">
        <v>10</v>
      </c>
      <c r="X5">
        <v>25000</v>
      </c>
      <c r="Y5">
        <v>12</v>
      </c>
      <c r="Z5">
        <v>30000</v>
      </c>
      <c r="AA5">
        <v>92500</v>
      </c>
    </row>
  </sheetData>
  <mergeCells count="4">
    <mergeCell ref="A1:AA1"/>
    <mergeCell ref="A2:K2"/>
    <mergeCell ref="T2:AA2"/>
    <mergeCell ref="L2:S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43"/>
  <sheetViews>
    <sheetView topLeftCell="A10" workbookViewId="0">
      <selection activeCell="L4" sqref="L4"/>
    </sheetView>
  </sheetViews>
  <sheetFormatPr baseColWidth="10" defaultColWidth="9.140625" defaultRowHeight="15" x14ac:dyDescent="0.25"/>
  <cols>
    <col min="2" max="2" width="13.5703125" customWidth="1"/>
    <col min="4" max="5" width="9.140625" customWidth="1"/>
  </cols>
  <sheetData>
    <row r="1" spans="1:9" x14ac:dyDescent="0.25">
      <c r="A1" s="91"/>
      <c r="B1" s="91"/>
      <c r="C1" s="91"/>
      <c r="D1" s="91"/>
      <c r="E1" s="91"/>
      <c r="F1" s="91"/>
      <c r="G1" s="91"/>
      <c r="H1" s="91"/>
      <c r="I1" s="91"/>
    </row>
    <row r="2" spans="1:9" x14ac:dyDescent="0.25">
      <c r="A2" s="91"/>
      <c r="B2" s="91"/>
      <c r="C2" s="91"/>
      <c r="D2" s="91"/>
      <c r="E2" s="91"/>
      <c r="F2" s="91"/>
      <c r="G2" s="91"/>
      <c r="H2" s="91"/>
      <c r="I2" s="91"/>
    </row>
    <row r="3" spans="1:9" x14ac:dyDescent="0.25">
      <c r="A3" s="91"/>
      <c r="B3" s="91"/>
      <c r="C3" s="91"/>
      <c r="D3" s="91"/>
      <c r="E3" s="91"/>
      <c r="F3" s="91"/>
      <c r="G3" s="91"/>
      <c r="H3" s="91"/>
      <c r="I3" s="91"/>
    </row>
    <row r="5" spans="1:9" x14ac:dyDescent="0.25">
      <c r="A5" s="98" t="s">
        <v>0</v>
      </c>
      <c r="B5" s="99"/>
      <c r="G5" s="102" t="s">
        <v>1</v>
      </c>
      <c r="H5" s="93"/>
      <c r="I5" s="103"/>
    </row>
    <row r="6" spans="1:9" x14ac:dyDescent="0.25">
      <c r="A6" s="100"/>
      <c r="B6" s="101"/>
      <c r="C6" s="104" t="s">
        <v>2</v>
      </c>
      <c r="D6" s="104"/>
      <c r="E6" s="104"/>
      <c r="F6" s="104"/>
      <c r="G6" s="73"/>
      <c r="H6" s="61"/>
      <c r="I6" s="74"/>
    </row>
    <row r="7" spans="1:9" x14ac:dyDescent="0.25">
      <c r="A7" s="100"/>
      <c r="B7" s="101"/>
      <c r="C7" s="105"/>
      <c r="D7" s="105"/>
      <c r="E7" s="105"/>
      <c r="F7" s="105"/>
      <c r="G7" s="73"/>
      <c r="H7" s="61"/>
      <c r="I7" s="74"/>
    </row>
    <row r="8" spans="1:9" x14ac:dyDescent="0.25">
      <c r="A8" s="100"/>
      <c r="B8" s="101"/>
      <c r="C8" s="106"/>
      <c r="D8" s="106"/>
      <c r="E8" s="106"/>
      <c r="F8" s="106"/>
      <c r="G8" s="73"/>
      <c r="H8" s="61"/>
      <c r="I8" s="74"/>
    </row>
    <row r="9" spans="1:9" ht="18.75" x14ac:dyDescent="0.25">
      <c r="A9" s="100"/>
      <c r="B9" s="101"/>
      <c r="C9" s="107" t="s">
        <v>22</v>
      </c>
      <c r="D9" s="108"/>
      <c r="E9" s="108"/>
      <c r="F9" s="108"/>
      <c r="G9" s="73"/>
      <c r="H9" s="61"/>
      <c r="I9" s="74"/>
    </row>
    <row r="10" spans="1:9" ht="18.75" x14ac:dyDescent="0.25">
      <c r="A10" s="57" t="s">
        <v>3</v>
      </c>
      <c r="B10" s="39"/>
      <c r="C10" s="39"/>
      <c r="D10" s="39"/>
      <c r="E10" s="65"/>
      <c r="F10" s="65"/>
      <c r="G10" s="65"/>
      <c r="H10" s="65"/>
      <c r="I10" s="66"/>
    </row>
    <row r="11" spans="1:9" ht="15.75" x14ac:dyDescent="0.25">
      <c r="A11" s="92" t="s">
        <v>11</v>
      </c>
      <c r="B11" s="80"/>
      <c r="C11" s="67" t="s">
        <v>166</v>
      </c>
      <c r="D11" s="67"/>
      <c r="E11" s="67"/>
      <c r="F11" s="80" t="s">
        <v>13</v>
      </c>
      <c r="G11" s="80"/>
      <c r="H11" s="70" t="s">
        <v>173</v>
      </c>
      <c r="I11" s="71"/>
    </row>
    <row r="12" spans="1:9" ht="15.75" x14ac:dyDescent="0.25">
      <c r="A12" s="60" t="s">
        <v>12</v>
      </c>
      <c r="B12" s="62"/>
      <c r="C12" s="68" t="s">
        <v>174</v>
      </c>
      <c r="D12" s="68"/>
      <c r="E12" s="69"/>
      <c r="F12" s="62" t="s">
        <v>14</v>
      </c>
      <c r="G12" s="62"/>
      <c r="H12" s="63" t="s">
        <v>168</v>
      </c>
      <c r="I12" s="64"/>
    </row>
    <row r="13" spans="1:9" ht="15.75" x14ac:dyDescent="0.25">
      <c r="A13" s="60" t="s">
        <v>15</v>
      </c>
      <c r="B13" s="61"/>
      <c r="C13" s="68" t="s">
        <v>171</v>
      </c>
      <c r="D13" s="68"/>
      <c r="E13" s="69"/>
      <c r="F13" s="62" t="s">
        <v>4</v>
      </c>
      <c r="G13" s="62"/>
      <c r="H13" s="63" t="s">
        <v>167</v>
      </c>
      <c r="I13" s="64"/>
    </row>
    <row r="14" spans="1:9" ht="15.75" x14ac:dyDescent="0.25">
      <c r="A14" s="60" t="s">
        <v>16</v>
      </c>
      <c r="B14" s="61"/>
      <c r="C14" s="68" t="s">
        <v>170</v>
      </c>
      <c r="D14" s="68"/>
      <c r="E14" s="69"/>
      <c r="F14" s="62" t="s">
        <v>17</v>
      </c>
      <c r="G14" s="62"/>
      <c r="H14" s="63" t="s">
        <v>165</v>
      </c>
      <c r="I14" s="64"/>
    </row>
    <row r="15" spans="1:9" ht="15.75" x14ac:dyDescent="0.25">
      <c r="A15" s="60" t="s">
        <v>18</v>
      </c>
      <c r="B15" s="61"/>
      <c r="C15" s="68" t="s">
        <v>169</v>
      </c>
      <c r="D15" s="68"/>
      <c r="E15" s="69"/>
      <c r="F15" s="62" t="s">
        <v>19</v>
      </c>
      <c r="G15" s="62"/>
      <c r="H15" s="63" t="s">
        <v>71</v>
      </c>
      <c r="I15" s="64"/>
    </row>
    <row r="16" spans="1:9" ht="18.75" x14ac:dyDescent="0.25">
      <c r="A16" s="57" t="s">
        <v>23</v>
      </c>
      <c r="B16" s="58"/>
      <c r="C16" s="58"/>
      <c r="D16" s="58"/>
      <c r="E16" s="58"/>
      <c r="F16" s="58"/>
      <c r="G16" s="58"/>
      <c r="H16" s="58"/>
      <c r="I16" s="59"/>
    </row>
    <row r="17" spans="1:9" ht="15.75" x14ac:dyDescent="0.25">
      <c r="A17" s="92" t="s">
        <v>20</v>
      </c>
      <c r="B17" s="93"/>
      <c r="C17" s="94" t="s">
        <v>176</v>
      </c>
      <c r="D17" s="94"/>
      <c r="E17" s="94"/>
      <c r="F17" s="80" t="s">
        <v>21</v>
      </c>
      <c r="G17" s="80"/>
      <c r="H17" s="55">
        <v>4</v>
      </c>
      <c r="I17" s="56"/>
    </row>
    <row r="18" spans="1:9" ht="15.75" x14ac:dyDescent="0.25">
      <c r="A18" s="60" t="s">
        <v>24</v>
      </c>
      <c r="B18" s="61"/>
      <c r="C18" s="54" t="b">
        <v>1</v>
      </c>
      <c r="D18" s="54"/>
      <c r="E18" s="54"/>
      <c r="F18" s="62" t="s">
        <v>29</v>
      </c>
      <c r="G18" s="62"/>
      <c r="H18" s="50">
        <v>3</v>
      </c>
      <c r="I18" s="51"/>
    </row>
    <row r="19" spans="1:9" ht="15.75" x14ac:dyDescent="0.25">
      <c r="A19" s="60" t="s">
        <v>25</v>
      </c>
      <c r="B19" s="61"/>
      <c r="C19" s="54" t="b">
        <v>1</v>
      </c>
      <c r="D19" s="54"/>
      <c r="E19" s="54"/>
      <c r="F19" s="62" t="s">
        <v>30</v>
      </c>
      <c r="G19" s="62"/>
      <c r="H19" s="50">
        <v>10</v>
      </c>
      <c r="I19" s="51"/>
    </row>
    <row r="20" spans="1:9" ht="15.75" x14ac:dyDescent="0.25">
      <c r="A20" s="60" t="s">
        <v>26</v>
      </c>
      <c r="B20" s="61"/>
      <c r="C20" s="54" t="b">
        <v>0</v>
      </c>
      <c r="D20" s="54"/>
      <c r="E20" s="54"/>
      <c r="F20" s="62" t="s">
        <v>31</v>
      </c>
      <c r="G20" s="62"/>
      <c r="H20" s="50">
        <v>12</v>
      </c>
      <c r="I20" s="51"/>
    </row>
    <row r="21" spans="1:9" ht="15.75" x14ac:dyDescent="0.25">
      <c r="A21" s="60" t="s">
        <v>27</v>
      </c>
      <c r="B21" s="61"/>
      <c r="C21" s="54" t="b">
        <v>1</v>
      </c>
      <c r="D21" s="54"/>
      <c r="E21" s="54"/>
      <c r="F21" s="62"/>
      <c r="G21" s="62"/>
      <c r="H21" s="50"/>
      <c r="I21" s="51"/>
    </row>
    <row r="22" spans="1:9" ht="18.75" x14ac:dyDescent="0.3">
      <c r="A22" s="60" t="s">
        <v>28</v>
      </c>
      <c r="B22" s="61"/>
      <c r="C22" s="54" t="b">
        <v>0</v>
      </c>
      <c r="D22" s="54"/>
      <c r="E22" s="54"/>
      <c r="F22" s="62"/>
      <c r="G22" s="62"/>
      <c r="H22" s="52"/>
      <c r="I22" s="53"/>
    </row>
    <row r="23" spans="1:9" ht="18.75" x14ac:dyDescent="0.25">
      <c r="A23" s="57" t="s">
        <v>5</v>
      </c>
      <c r="B23" s="39"/>
      <c r="C23" s="39"/>
      <c r="D23" s="39" t="s">
        <v>6</v>
      </c>
      <c r="E23" s="39"/>
      <c r="F23" s="39"/>
      <c r="G23" s="39"/>
      <c r="H23" s="39"/>
      <c r="I23" s="40"/>
    </row>
    <row r="24" spans="1:9" ht="15.75" x14ac:dyDescent="0.25">
      <c r="A24" s="92" t="s">
        <v>33</v>
      </c>
      <c r="B24" s="80"/>
      <c r="C24" s="80"/>
      <c r="D24" s="80"/>
      <c r="E24" s="41">
        <v>2500</v>
      </c>
      <c r="F24" s="42"/>
      <c r="G24" s="42"/>
      <c r="H24" s="42"/>
      <c r="I24" s="43"/>
    </row>
    <row r="25" spans="1:9" ht="15.75" x14ac:dyDescent="0.25">
      <c r="A25" s="60" t="s">
        <v>34</v>
      </c>
      <c r="B25" s="62"/>
      <c r="C25" s="62"/>
      <c r="D25" s="62"/>
      <c r="E25" s="44">
        <v>15</v>
      </c>
      <c r="F25" s="45"/>
      <c r="G25" s="45"/>
      <c r="H25" s="45"/>
      <c r="I25" s="46"/>
    </row>
    <row r="26" spans="1:9" ht="15.75" x14ac:dyDescent="0.25">
      <c r="A26" s="60" t="s">
        <v>37</v>
      </c>
      <c r="B26" s="62"/>
      <c r="C26" s="62"/>
      <c r="D26" s="62"/>
      <c r="E26" s="47">
        <v>37500</v>
      </c>
      <c r="F26" s="48"/>
      <c r="G26" s="48"/>
      <c r="H26" s="48"/>
      <c r="I26" s="49"/>
    </row>
    <row r="27" spans="1:9" ht="15.75" x14ac:dyDescent="0.25">
      <c r="A27" s="60" t="s">
        <v>35</v>
      </c>
      <c r="B27" s="62"/>
      <c r="C27" s="62"/>
      <c r="D27" s="62"/>
      <c r="E27" s="47">
        <v>25000</v>
      </c>
      <c r="F27" s="48"/>
      <c r="G27" s="48"/>
      <c r="H27" s="48"/>
      <c r="I27" s="49"/>
    </row>
    <row r="28" spans="1:9" ht="15.75" x14ac:dyDescent="0.25">
      <c r="A28" s="60" t="s">
        <v>36</v>
      </c>
      <c r="B28" s="62"/>
      <c r="C28" s="62"/>
      <c r="D28" s="62"/>
      <c r="E28" s="47">
        <v>30000</v>
      </c>
      <c r="F28" s="48"/>
      <c r="G28" s="48"/>
      <c r="H28" s="48"/>
      <c r="I28" s="49"/>
    </row>
    <row r="29" spans="1:9" ht="15.75" x14ac:dyDescent="0.25">
      <c r="A29" s="75" t="s">
        <v>38</v>
      </c>
      <c r="B29" s="76"/>
      <c r="C29" s="76"/>
      <c r="D29" s="76"/>
      <c r="E29" s="88">
        <v>92500</v>
      </c>
      <c r="F29" s="89"/>
      <c r="G29" s="89"/>
      <c r="H29" s="89"/>
      <c r="I29" s="90"/>
    </row>
    <row r="30" spans="1:9" ht="15.75" x14ac:dyDescent="0.25">
      <c r="A30" s="82" t="s">
        <v>7</v>
      </c>
      <c r="B30" s="84"/>
      <c r="C30" s="85">
        <f ca="1">NOW()</f>
        <v>43931.764064930554</v>
      </c>
      <c r="D30" s="86"/>
      <c r="E30" s="86"/>
      <c r="F30" s="86"/>
      <c r="G30" s="86"/>
      <c r="H30" s="86"/>
      <c r="I30" s="87"/>
    </row>
    <row r="31" spans="1:9" ht="15.75" x14ac:dyDescent="0.25">
      <c r="A31" s="60"/>
      <c r="B31" s="62"/>
      <c r="C31" s="80"/>
      <c r="D31" s="81"/>
      <c r="E31" s="1" t="s">
        <v>8</v>
      </c>
      <c r="F31" s="82" t="s">
        <v>9</v>
      </c>
      <c r="G31" s="83"/>
      <c r="H31" s="82" t="s">
        <v>10</v>
      </c>
      <c r="I31" s="83"/>
    </row>
    <row r="32" spans="1:9" ht="15.75" x14ac:dyDescent="0.25">
      <c r="A32" s="60" t="s">
        <v>32</v>
      </c>
      <c r="B32" s="62"/>
      <c r="C32" s="62" t="s">
        <v>175</v>
      </c>
      <c r="D32" s="72"/>
      <c r="E32" s="2"/>
      <c r="F32" s="73"/>
      <c r="G32" s="74"/>
      <c r="H32" s="73"/>
      <c r="I32" s="74"/>
    </row>
    <row r="33" spans="1:9" ht="15.75" x14ac:dyDescent="0.25">
      <c r="A33" s="75"/>
      <c r="B33" s="76"/>
      <c r="C33" s="76"/>
      <c r="D33" s="77"/>
      <c r="E33" s="3"/>
      <c r="F33" s="78"/>
      <c r="G33" s="79"/>
      <c r="H33" s="78"/>
      <c r="I33" s="79"/>
    </row>
    <row r="35" spans="1:9" x14ac:dyDescent="0.25">
      <c r="A35" s="95" t="s">
        <v>196</v>
      </c>
      <c r="B35" s="96"/>
      <c r="C35" s="12"/>
      <c r="D35" s="96" t="s">
        <v>197</v>
      </c>
      <c r="E35" s="96"/>
      <c r="F35" s="12"/>
      <c r="G35" s="96" t="s">
        <v>193</v>
      </c>
      <c r="H35" s="96"/>
      <c r="I35" s="97"/>
    </row>
    <row r="36" spans="1:9" x14ac:dyDescent="0.25">
      <c r="A36" s="13"/>
      <c r="B36" s="14"/>
      <c r="C36" s="14"/>
      <c r="D36" s="14"/>
      <c r="E36" s="14"/>
      <c r="F36" s="14"/>
      <c r="G36" s="14"/>
      <c r="H36" s="14"/>
      <c r="I36" s="21"/>
    </row>
    <row r="37" spans="1:9" x14ac:dyDescent="0.25">
      <c r="A37" s="13"/>
      <c r="B37" s="14"/>
      <c r="C37" s="14"/>
      <c r="D37" s="14"/>
      <c r="E37" s="14"/>
      <c r="F37" s="14"/>
      <c r="G37" s="14"/>
      <c r="H37" s="14"/>
      <c r="I37" s="21"/>
    </row>
    <row r="38" spans="1:9" x14ac:dyDescent="0.25">
      <c r="A38" s="13"/>
      <c r="B38" s="14"/>
      <c r="C38" s="14"/>
      <c r="D38" s="14"/>
      <c r="E38" s="14"/>
      <c r="F38" s="14"/>
      <c r="G38" s="14"/>
      <c r="H38" s="14"/>
      <c r="I38" s="21"/>
    </row>
    <row r="39" spans="1:9" x14ac:dyDescent="0.25">
      <c r="A39" s="13"/>
      <c r="B39" s="14"/>
      <c r="C39" s="14"/>
      <c r="D39" s="14"/>
      <c r="E39" s="14"/>
      <c r="F39" s="14"/>
      <c r="G39" s="14"/>
      <c r="H39" s="14"/>
      <c r="I39" s="21"/>
    </row>
    <row r="40" spans="1:9" x14ac:dyDescent="0.25">
      <c r="A40" s="13"/>
      <c r="B40" s="14"/>
      <c r="C40" s="14"/>
      <c r="D40" s="14"/>
      <c r="E40" s="14"/>
      <c r="F40" s="14"/>
      <c r="G40" s="14"/>
      <c r="H40" s="14"/>
      <c r="I40" s="21"/>
    </row>
    <row r="41" spans="1:9" x14ac:dyDescent="0.25">
      <c r="A41" s="13"/>
      <c r="B41" s="14"/>
      <c r="C41" s="14"/>
      <c r="D41" s="14"/>
      <c r="E41" s="14"/>
      <c r="F41" s="14"/>
      <c r="G41" s="14"/>
      <c r="H41" s="14"/>
      <c r="I41" s="21"/>
    </row>
    <row r="42" spans="1:9" x14ac:dyDescent="0.25">
      <c r="A42" s="13"/>
      <c r="B42" s="14"/>
      <c r="C42" s="14"/>
      <c r="D42" s="14"/>
      <c r="E42" s="14"/>
      <c r="F42" s="14"/>
      <c r="G42" s="14"/>
      <c r="H42" s="14"/>
      <c r="I42" s="21"/>
    </row>
    <row r="43" spans="1:9" x14ac:dyDescent="0.25">
      <c r="A43" s="15"/>
      <c r="B43" s="16"/>
      <c r="C43" s="16"/>
      <c r="D43" s="16"/>
      <c r="E43" s="16"/>
      <c r="F43" s="16"/>
      <c r="G43" s="16"/>
      <c r="H43" s="16"/>
      <c r="I43" s="22"/>
    </row>
  </sheetData>
  <mergeCells count="88">
    <mergeCell ref="A35:B35"/>
    <mergeCell ref="D35:E35"/>
    <mergeCell ref="G35:I35"/>
    <mergeCell ref="A5:B9"/>
    <mergeCell ref="G5:I9"/>
    <mergeCell ref="C6:F8"/>
    <mergeCell ref="C9:F9"/>
    <mergeCell ref="F22:G22"/>
    <mergeCell ref="A26:B26"/>
    <mergeCell ref="C26:D26"/>
    <mergeCell ref="A27:B27"/>
    <mergeCell ref="C27:D27"/>
    <mergeCell ref="A24:B24"/>
    <mergeCell ref="C24:D24"/>
    <mergeCell ref="A25:B25"/>
    <mergeCell ref="C25:D25"/>
    <mergeCell ref="A1:I3"/>
    <mergeCell ref="A23:C23"/>
    <mergeCell ref="A13:B13"/>
    <mergeCell ref="A14:B14"/>
    <mergeCell ref="A11:B11"/>
    <mergeCell ref="F11:G11"/>
    <mergeCell ref="A12:B12"/>
    <mergeCell ref="F12:G12"/>
    <mergeCell ref="C15:E15"/>
    <mergeCell ref="F14:G14"/>
    <mergeCell ref="A17:B17"/>
    <mergeCell ref="C17:E17"/>
    <mergeCell ref="F17:G17"/>
    <mergeCell ref="A21:B21"/>
    <mergeCell ref="A22:B22"/>
    <mergeCell ref="F21:G21"/>
    <mergeCell ref="A28:B28"/>
    <mergeCell ref="C28:D28"/>
    <mergeCell ref="A29:B29"/>
    <mergeCell ref="C29:D29"/>
    <mergeCell ref="E29:I29"/>
    <mergeCell ref="E28:I28"/>
    <mergeCell ref="A31:B31"/>
    <mergeCell ref="C31:D31"/>
    <mergeCell ref="F31:G31"/>
    <mergeCell ref="H31:I31"/>
    <mergeCell ref="A30:B30"/>
    <mergeCell ref="C30:I30"/>
    <mergeCell ref="A32:B32"/>
    <mergeCell ref="C32:D32"/>
    <mergeCell ref="F32:G32"/>
    <mergeCell ref="H32:I32"/>
    <mergeCell ref="A33:B33"/>
    <mergeCell ref="C33:D33"/>
    <mergeCell ref="F33:G33"/>
    <mergeCell ref="H33:I33"/>
    <mergeCell ref="H14:I14"/>
    <mergeCell ref="A15:B15"/>
    <mergeCell ref="F15:G15"/>
    <mergeCell ref="H15:I15"/>
    <mergeCell ref="A10:I10"/>
    <mergeCell ref="C11:E11"/>
    <mergeCell ref="C12:E12"/>
    <mergeCell ref="C13:E13"/>
    <mergeCell ref="C14:E14"/>
    <mergeCell ref="F13:G13"/>
    <mergeCell ref="H13:I13"/>
    <mergeCell ref="H11:I11"/>
    <mergeCell ref="H12:I12"/>
    <mergeCell ref="H17:I17"/>
    <mergeCell ref="A16:I16"/>
    <mergeCell ref="A18:B18"/>
    <mergeCell ref="A19:B19"/>
    <mergeCell ref="A20:B20"/>
    <mergeCell ref="F18:G18"/>
    <mergeCell ref="F19:G19"/>
    <mergeCell ref="F20:G20"/>
    <mergeCell ref="H18:I18"/>
    <mergeCell ref="H19:I19"/>
    <mergeCell ref="H20:I20"/>
    <mergeCell ref="H21:I21"/>
    <mergeCell ref="H22:I22"/>
    <mergeCell ref="C18:E18"/>
    <mergeCell ref="C19:E19"/>
    <mergeCell ref="C20:E20"/>
    <mergeCell ref="C21:E21"/>
    <mergeCell ref="C22:E22"/>
    <mergeCell ref="D23:I23"/>
    <mergeCell ref="E24:I24"/>
    <mergeCell ref="E25:I25"/>
    <mergeCell ref="E26:I26"/>
    <mergeCell ref="E27:I27"/>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9"/>
  <sheetViews>
    <sheetView workbookViewId="0">
      <selection activeCell="H9" sqref="H9"/>
    </sheetView>
  </sheetViews>
  <sheetFormatPr baseColWidth="10" defaultColWidth="9.140625" defaultRowHeight="15" x14ac:dyDescent="0.25"/>
  <cols>
    <col min="1" max="1" width="18.42578125" customWidth="1"/>
    <col min="2" max="2" width="18" customWidth="1"/>
    <col min="3" max="3" width="17.85546875" customWidth="1"/>
    <col min="4" max="4" width="11.5703125" customWidth="1"/>
    <col min="5" max="5" width="10" customWidth="1"/>
    <col min="6" max="6" width="9.85546875" customWidth="1"/>
    <col min="8" max="8" width="10.5703125" customWidth="1"/>
    <col min="12" max="12" width="6.140625" customWidth="1"/>
    <col min="13" max="13" width="14.28515625" customWidth="1"/>
    <col min="16" max="16" width="24" customWidth="1"/>
    <col min="17" max="17" width="11.5703125" customWidth="1"/>
    <col min="18" max="18" width="12.42578125" customWidth="1"/>
    <col min="19" max="19" width="8.85546875" customWidth="1"/>
    <col min="22" max="22" width="12.140625" customWidth="1"/>
    <col min="23" max="23" width="10.42578125" customWidth="1"/>
    <col min="24" max="24" width="16.5703125" customWidth="1"/>
    <col min="25" max="25" width="12.42578125" customWidth="1"/>
    <col min="26" max="26" width="11.42578125" customWidth="1"/>
    <col min="27" max="27" width="19.5703125" customWidth="1"/>
  </cols>
  <sheetData>
    <row r="1" spans="1:27" ht="26.25" x14ac:dyDescent="0.4">
      <c r="A1" s="109" t="s">
        <v>195</v>
      </c>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row>
    <row r="2" spans="1:27" ht="23.25" x14ac:dyDescent="0.25">
      <c r="A2" s="110" t="s">
        <v>64</v>
      </c>
      <c r="B2" s="110"/>
      <c r="C2" s="110"/>
      <c r="D2" s="110"/>
      <c r="E2" s="110"/>
      <c r="F2" s="110"/>
      <c r="G2" s="111" t="s">
        <v>89</v>
      </c>
      <c r="H2" s="111"/>
      <c r="I2" s="111"/>
      <c r="J2" s="111"/>
      <c r="K2" s="111"/>
      <c r="L2" s="111"/>
      <c r="M2" s="111"/>
      <c r="N2" s="111"/>
      <c r="O2" s="111"/>
      <c r="P2" s="10"/>
      <c r="Q2" s="112" t="s">
        <v>77</v>
      </c>
      <c r="R2" s="112"/>
      <c r="S2" s="112"/>
      <c r="T2" s="112"/>
      <c r="U2" s="112"/>
      <c r="V2" s="113" t="s">
        <v>78</v>
      </c>
      <c r="W2" s="113"/>
      <c r="X2" s="114" t="s">
        <v>84</v>
      </c>
      <c r="Y2" s="114"/>
      <c r="Z2" s="110" t="s">
        <v>79</v>
      </c>
      <c r="AA2" s="110"/>
    </row>
    <row r="3" spans="1:27" x14ac:dyDescent="0.25">
      <c r="A3" s="9" t="s">
        <v>40</v>
      </c>
      <c r="B3" s="9" t="s">
        <v>41</v>
      </c>
      <c r="C3" s="9" t="s">
        <v>48</v>
      </c>
      <c r="D3" s="9" t="s">
        <v>46</v>
      </c>
      <c r="E3" s="9" t="s">
        <v>47</v>
      </c>
      <c r="F3" s="9" t="s">
        <v>67</v>
      </c>
      <c r="G3" s="9" t="s">
        <v>69</v>
      </c>
      <c r="H3" s="9" t="s">
        <v>70</v>
      </c>
      <c r="I3" s="9" t="s">
        <v>71</v>
      </c>
      <c r="J3" s="9" t="s">
        <v>73</v>
      </c>
      <c r="K3" s="9" t="s">
        <v>72</v>
      </c>
      <c r="L3" s="9" t="s">
        <v>74</v>
      </c>
      <c r="M3" s="9" t="s">
        <v>75</v>
      </c>
      <c r="N3" s="9" t="s">
        <v>87</v>
      </c>
      <c r="O3" s="9" t="s">
        <v>76</v>
      </c>
      <c r="P3" s="11" t="s">
        <v>101</v>
      </c>
      <c r="Q3" s="9" t="s">
        <v>77</v>
      </c>
      <c r="R3" s="9" t="s">
        <v>41</v>
      </c>
      <c r="S3" s="9" t="s">
        <v>81</v>
      </c>
      <c r="T3" s="9" t="s">
        <v>82</v>
      </c>
      <c r="U3" s="9" t="s">
        <v>83</v>
      </c>
      <c r="V3" s="9" t="s">
        <v>78</v>
      </c>
      <c r="W3" s="9" t="s">
        <v>80</v>
      </c>
      <c r="X3" s="9" t="s">
        <v>88</v>
      </c>
      <c r="Y3" s="9" t="s">
        <v>80</v>
      </c>
      <c r="Z3" s="9" t="s">
        <v>85</v>
      </c>
      <c r="AA3" s="9" t="s">
        <v>86</v>
      </c>
    </row>
    <row r="4" spans="1:27" x14ac:dyDescent="0.25">
      <c r="A4" s="4" t="s">
        <v>105</v>
      </c>
      <c r="B4" s="4" t="s">
        <v>172</v>
      </c>
      <c r="C4" s="4" t="s">
        <v>106</v>
      </c>
      <c r="D4" s="4" t="s">
        <v>107</v>
      </c>
      <c r="E4" s="4" t="s">
        <v>108</v>
      </c>
      <c r="F4" s="4" t="s">
        <v>109</v>
      </c>
      <c r="G4" s="4" t="s">
        <v>99</v>
      </c>
      <c r="H4" s="4" t="s">
        <v>99</v>
      </c>
      <c r="I4" s="4" t="s">
        <v>99</v>
      </c>
      <c r="J4" s="4" t="s">
        <v>99</v>
      </c>
      <c r="K4" s="4" t="s">
        <v>99</v>
      </c>
      <c r="L4" s="4" t="s">
        <v>99</v>
      </c>
      <c r="M4" s="4" t="s">
        <v>99</v>
      </c>
      <c r="N4" s="4" t="s">
        <v>99</v>
      </c>
      <c r="O4" s="4" t="s">
        <v>99</v>
      </c>
      <c r="P4" s="4" t="s">
        <v>104</v>
      </c>
      <c r="Q4" s="4" t="s">
        <v>102</v>
      </c>
      <c r="R4" s="4" t="s">
        <v>110</v>
      </c>
      <c r="S4" s="4" t="s">
        <v>99</v>
      </c>
      <c r="T4" s="4" t="s">
        <v>83</v>
      </c>
      <c r="U4" s="4" t="s">
        <v>111</v>
      </c>
      <c r="V4" s="4" t="s">
        <v>112</v>
      </c>
      <c r="W4" s="4" t="s">
        <v>113</v>
      </c>
      <c r="X4" s="4" t="s">
        <v>114</v>
      </c>
      <c r="Y4" s="4" t="s">
        <v>114</v>
      </c>
      <c r="Z4" s="4" t="s">
        <v>115</v>
      </c>
      <c r="AA4" s="4" t="s">
        <v>116</v>
      </c>
    </row>
    <row r="5" spans="1:27" x14ac:dyDescent="0.25">
      <c r="A5" s="4" t="s">
        <v>103</v>
      </c>
      <c r="B5" s="4" t="s">
        <v>117</v>
      </c>
      <c r="C5" s="4" t="s">
        <v>118</v>
      </c>
      <c r="D5" s="4" t="s">
        <v>119</v>
      </c>
      <c r="E5" s="4" t="s">
        <v>120</v>
      </c>
      <c r="F5" s="4" t="s">
        <v>114</v>
      </c>
      <c r="G5" s="4" t="s">
        <v>99</v>
      </c>
      <c r="H5" s="4" t="s">
        <v>99</v>
      </c>
      <c r="I5" s="4" t="s">
        <v>99</v>
      </c>
      <c r="J5" s="4" t="s">
        <v>99</v>
      </c>
      <c r="K5" s="4" t="s">
        <v>99</v>
      </c>
      <c r="L5" s="4" t="s">
        <v>99</v>
      </c>
      <c r="M5" s="4" t="s">
        <v>99</v>
      </c>
      <c r="N5" s="4" t="s">
        <v>99</v>
      </c>
      <c r="O5" s="4" t="s">
        <v>99</v>
      </c>
      <c r="P5" s="4" t="s">
        <v>104</v>
      </c>
      <c r="Q5" s="4" t="s">
        <v>121</v>
      </c>
      <c r="R5" s="4" t="s">
        <v>122</v>
      </c>
      <c r="S5" s="4" t="s">
        <v>123</v>
      </c>
      <c r="T5" s="4" t="s">
        <v>124</v>
      </c>
      <c r="U5" s="4" t="s">
        <v>125</v>
      </c>
      <c r="V5" s="4" t="s">
        <v>125</v>
      </c>
    </row>
    <row r="6" spans="1:27" x14ac:dyDescent="0.25">
      <c r="A6" s="4" t="s">
        <v>160</v>
      </c>
      <c r="B6" s="4" t="s">
        <v>212</v>
      </c>
      <c r="C6" s="4" t="s">
        <v>106</v>
      </c>
      <c r="D6" s="4" t="s">
        <v>107</v>
      </c>
      <c r="E6" s="4" t="s">
        <v>108</v>
      </c>
      <c r="F6" s="4" t="s">
        <v>109</v>
      </c>
      <c r="P6" s="4" t="s">
        <v>100</v>
      </c>
      <c r="Q6" s="4" t="s">
        <v>102</v>
      </c>
      <c r="R6" s="4" t="s">
        <v>110</v>
      </c>
      <c r="T6" s="4" t="s">
        <v>83</v>
      </c>
      <c r="U6" s="4" t="s">
        <v>111</v>
      </c>
      <c r="V6" s="4" t="s">
        <v>112</v>
      </c>
      <c r="W6" s="4" t="s">
        <v>113</v>
      </c>
      <c r="X6" s="4" t="s">
        <v>114</v>
      </c>
      <c r="Y6" s="4" t="s">
        <v>114</v>
      </c>
      <c r="Z6" s="4" t="s">
        <v>115</v>
      </c>
      <c r="AA6" s="4" t="s">
        <v>116</v>
      </c>
    </row>
    <row r="7" spans="1:27" x14ac:dyDescent="0.25">
      <c r="A7" s="4" t="s">
        <v>160</v>
      </c>
      <c r="B7" s="4" t="s">
        <v>212</v>
      </c>
      <c r="C7" s="4" t="s">
        <v>106</v>
      </c>
      <c r="D7" s="4" t="s">
        <v>107</v>
      </c>
      <c r="E7" s="4" t="s">
        <v>108</v>
      </c>
      <c r="F7" s="4" t="s">
        <v>109</v>
      </c>
      <c r="P7" s="4" t="s">
        <v>100</v>
      </c>
      <c r="Q7" s="4" t="s">
        <v>102</v>
      </c>
      <c r="R7" s="4" t="s">
        <v>110</v>
      </c>
      <c r="T7" s="4" t="s">
        <v>83</v>
      </c>
      <c r="U7" s="4" t="s">
        <v>111</v>
      </c>
      <c r="V7" s="4" t="s">
        <v>112</v>
      </c>
      <c r="W7" s="4" t="s">
        <v>113</v>
      </c>
      <c r="X7" s="4" t="s">
        <v>114</v>
      </c>
      <c r="Y7" s="4" t="s">
        <v>114</v>
      </c>
      <c r="Z7" s="4" t="s">
        <v>115</v>
      </c>
      <c r="AA7" s="4" t="s">
        <v>116</v>
      </c>
    </row>
    <row r="8" spans="1:27" x14ac:dyDescent="0.25">
      <c r="A8" s="4" t="s">
        <v>160</v>
      </c>
      <c r="B8" s="4" t="s">
        <v>212</v>
      </c>
      <c r="C8" s="4" t="s">
        <v>106</v>
      </c>
      <c r="D8" s="4" t="s">
        <v>107</v>
      </c>
      <c r="E8" s="4" t="s">
        <v>108</v>
      </c>
      <c r="F8" s="4" t="s">
        <v>109</v>
      </c>
      <c r="P8" s="4" t="s">
        <v>100</v>
      </c>
      <c r="Q8" s="4" t="s">
        <v>102</v>
      </c>
      <c r="R8" s="4" t="s">
        <v>110</v>
      </c>
      <c r="T8" s="4" t="s">
        <v>83</v>
      </c>
      <c r="U8" s="4" t="s">
        <v>111</v>
      </c>
      <c r="V8" s="4" t="s">
        <v>112</v>
      </c>
      <c r="W8" s="4" t="s">
        <v>113</v>
      </c>
      <c r="X8" s="4" t="s">
        <v>114</v>
      </c>
      <c r="Y8" s="4" t="s">
        <v>114</v>
      </c>
      <c r="Z8" s="4" t="s">
        <v>115</v>
      </c>
      <c r="AA8" s="4" t="s">
        <v>116</v>
      </c>
    </row>
    <row r="9" spans="1:27" x14ac:dyDescent="0.25">
      <c r="A9" s="4" t="s">
        <v>105</v>
      </c>
      <c r="B9" s="4" t="s">
        <v>172</v>
      </c>
      <c r="C9" s="4" t="s">
        <v>106</v>
      </c>
      <c r="D9" s="4" t="s">
        <v>107</v>
      </c>
      <c r="E9" s="4" t="s">
        <v>108</v>
      </c>
      <c r="F9" s="4" t="s">
        <v>109</v>
      </c>
      <c r="P9" s="4" t="s">
        <v>104</v>
      </c>
      <c r="Q9" s="4" t="s">
        <v>102</v>
      </c>
      <c r="R9" s="4" t="s">
        <v>110</v>
      </c>
      <c r="T9" s="4" t="s">
        <v>83</v>
      </c>
      <c r="U9" s="4" t="s">
        <v>111</v>
      </c>
      <c r="V9" s="4" t="s">
        <v>112</v>
      </c>
      <c r="W9" s="4" t="s">
        <v>113</v>
      </c>
      <c r="X9" s="4" t="s">
        <v>114</v>
      </c>
      <c r="Y9" s="4" t="s">
        <v>114</v>
      </c>
      <c r="Z9" s="4" t="s">
        <v>115</v>
      </c>
      <c r="AA9" s="4" t="s">
        <v>116</v>
      </c>
    </row>
  </sheetData>
  <mergeCells count="7">
    <mergeCell ref="A1:AA1"/>
    <mergeCell ref="A2:F2"/>
    <mergeCell ref="G2:O2"/>
    <mergeCell ref="Q2:U2"/>
    <mergeCell ref="V2:W2"/>
    <mergeCell ref="X2:Y2"/>
    <mergeCell ref="Z2:AA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6"/>
  <sheetViews>
    <sheetView workbookViewId="0">
      <selection activeCell="I11" sqref="I11"/>
    </sheetView>
  </sheetViews>
  <sheetFormatPr baseColWidth="10" defaultColWidth="9.140625" defaultRowHeight="15" x14ac:dyDescent="0.25"/>
  <cols>
    <col min="8" max="8" width="12.42578125" customWidth="1"/>
    <col min="9" max="9" width="12.140625" customWidth="1"/>
    <col min="11" max="11" width="12.5703125" customWidth="1"/>
    <col min="12" max="12" width="5.85546875" customWidth="1"/>
    <col min="13" max="13" width="13.140625" customWidth="1"/>
    <col min="14" max="14" width="12.140625" customWidth="1"/>
    <col min="15" max="15" width="11.42578125" customWidth="1"/>
    <col min="16" max="16" width="19.5703125" customWidth="1"/>
    <col min="17" max="17" width="12.28515625" customWidth="1"/>
    <col min="18" max="18" width="17.5703125" customWidth="1"/>
    <col min="19" max="19" width="14.42578125" customWidth="1"/>
    <col min="20" max="20" width="14.5703125" customWidth="1"/>
    <col min="21" max="21" width="14" customWidth="1"/>
    <col min="22" max="22" width="15.28515625" customWidth="1"/>
    <col min="23" max="23" width="12" customWidth="1"/>
    <col min="24" max="24" width="18.28515625" customWidth="1"/>
  </cols>
  <sheetData>
    <row r="1" spans="1:24" ht="26.25" x14ac:dyDescent="0.4">
      <c r="A1" s="115" t="s">
        <v>91</v>
      </c>
      <c r="B1" s="115"/>
      <c r="C1" s="115"/>
      <c r="D1" s="115"/>
      <c r="E1" s="115"/>
      <c r="F1" s="115"/>
      <c r="G1" s="115"/>
      <c r="H1" s="115"/>
      <c r="I1" s="115"/>
      <c r="J1" s="115"/>
      <c r="K1" s="115"/>
      <c r="L1" s="115"/>
      <c r="M1" s="115"/>
      <c r="N1" s="115"/>
      <c r="O1" s="115"/>
      <c r="P1" s="115"/>
      <c r="Q1" s="115"/>
      <c r="R1" s="115"/>
      <c r="S1" s="115"/>
      <c r="T1" s="115"/>
      <c r="U1" s="115"/>
      <c r="V1" s="115"/>
      <c r="W1" s="115"/>
      <c r="X1" s="115"/>
    </row>
    <row r="2" spans="1:24" ht="23.25" x14ac:dyDescent="0.35">
      <c r="A2" s="116" t="s">
        <v>64</v>
      </c>
      <c r="B2" s="116"/>
      <c r="C2" s="116"/>
      <c r="D2" s="116"/>
      <c r="E2" s="116"/>
      <c r="F2" s="116"/>
      <c r="G2" s="111" t="s">
        <v>89</v>
      </c>
      <c r="H2" s="111"/>
      <c r="I2" s="111"/>
      <c r="J2" s="111"/>
      <c r="K2" s="111"/>
      <c r="L2" s="111"/>
      <c r="M2" s="111"/>
      <c r="N2" s="111"/>
      <c r="O2" s="111"/>
      <c r="P2" s="10"/>
      <c r="Q2" s="112" t="s">
        <v>77</v>
      </c>
      <c r="R2" s="112"/>
      <c r="S2" s="113" t="s">
        <v>78</v>
      </c>
      <c r="T2" s="113"/>
      <c r="U2" s="114" t="s">
        <v>84</v>
      </c>
      <c r="V2" s="114"/>
      <c r="W2" s="110" t="s">
        <v>79</v>
      </c>
      <c r="X2" s="110"/>
    </row>
    <row r="3" spans="1:24" x14ac:dyDescent="0.25">
      <c r="A3" s="9" t="s">
        <v>40</v>
      </c>
      <c r="B3" s="9" t="s">
        <v>41</v>
      </c>
      <c r="C3" s="9" t="s">
        <v>48</v>
      </c>
      <c r="D3" s="9" t="s">
        <v>46</v>
      </c>
      <c r="E3" s="9" t="s">
        <v>47</v>
      </c>
      <c r="F3" s="9" t="s">
        <v>67</v>
      </c>
      <c r="G3" s="9" t="s">
        <v>92</v>
      </c>
      <c r="H3" s="9" t="s">
        <v>93</v>
      </c>
      <c r="I3" s="9" t="s">
        <v>94</v>
      </c>
      <c r="J3" s="9" t="s">
        <v>73</v>
      </c>
      <c r="K3" s="9" t="s">
        <v>95</v>
      </c>
      <c r="L3" s="9" t="s">
        <v>74</v>
      </c>
      <c r="M3" s="9" t="s">
        <v>96</v>
      </c>
      <c r="N3" s="9" t="s">
        <v>97</v>
      </c>
      <c r="O3" s="9" t="s">
        <v>98</v>
      </c>
      <c r="P3" s="9" t="s">
        <v>90</v>
      </c>
      <c r="Q3" s="9" t="s">
        <v>80</v>
      </c>
      <c r="R3" s="9" t="s">
        <v>41</v>
      </c>
      <c r="S3" s="9" t="s">
        <v>78</v>
      </c>
      <c r="T3" s="9" t="s">
        <v>80</v>
      </c>
      <c r="U3" s="9" t="s">
        <v>84</v>
      </c>
      <c r="V3" s="9" t="s">
        <v>80</v>
      </c>
      <c r="W3" s="9" t="s">
        <v>85</v>
      </c>
      <c r="X3" s="9" t="s">
        <v>86</v>
      </c>
    </row>
    <row r="4" spans="1:24" x14ac:dyDescent="0.25">
      <c r="A4" s="4" t="s">
        <v>103</v>
      </c>
      <c r="B4" s="4" t="s">
        <v>126</v>
      </c>
      <c r="C4" s="4" t="s">
        <v>127</v>
      </c>
      <c r="D4" s="4" t="s">
        <v>128</v>
      </c>
      <c r="E4" s="4" t="s">
        <v>129</v>
      </c>
      <c r="F4" s="4" t="s">
        <v>130</v>
      </c>
      <c r="G4" s="4" t="s">
        <v>99</v>
      </c>
      <c r="H4" s="4" t="s">
        <v>99</v>
      </c>
      <c r="I4" s="4" t="s">
        <v>99</v>
      </c>
      <c r="J4" s="4" t="s">
        <v>99</v>
      </c>
      <c r="K4" s="4" t="s">
        <v>99</v>
      </c>
      <c r="L4" s="4" t="s">
        <v>99</v>
      </c>
      <c r="M4" s="4" t="s">
        <v>99</v>
      </c>
      <c r="N4" s="4" t="s">
        <v>99</v>
      </c>
      <c r="O4" s="4" t="s">
        <v>99</v>
      </c>
      <c r="P4" s="4" t="s">
        <v>131</v>
      </c>
      <c r="Q4" s="4" t="s">
        <v>132</v>
      </c>
      <c r="R4" s="4" t="s">
        <v>133</v>
      </c>
      <c r="S4" s="4" t="s">
        <v>134</v>
      </c>
      <c r="T4" s="4" t="s">
        <v>135</v>
      </c>
      <c r="U4" s="4" t="s">
        <v>135</v>
      </c>
      <c r="V4" s="4" t="s">
        <v>136</v>
      </c>
      <c r="W4" s="4" t="s">
        <v>137</v>
      </c>
    </row>
    <row r="5" spans="1:24" x14ac:dyDescent="0.25">
      <c r="A5" s="4" t="s">
        <v>138</v>
      </c>
      <c r="B5" s="4" t="s">
        <v>139</v>
      </c>
      <c r="C5" s="4" t="s">
        <v>140</v>
      </c>
      <c r="D5" s="4" t="s">
        <v>141</v>
      </c>
      <c r="E5" s="4" t="s">
        <v>142</v>
      </c>
      <c r="F5" s="4" t="s">
        <v>143</v>
      </c>
      <c r="G5" s="4" t="s">
        <v>99</v>
      </c>
      <c r="H5" s="4" t="s">
        <v>99</v>
      </c>
      <c r="I5" s="4" t="s">
        <v>99</v>
      </c>
      <c r="J5" s="4" t="s">
        <v>99</v>
      </c>
      <c r="K5" s="4" t="s">
        <v>99</v>
      </c>
      <c r="L5" s="4" t="s">
        <v>99</v>
      </c>
      <c r="M5" s="4" t="s">
        <v>99</v>
      </c>
      <c r="N5" s="4" t="s">
        <v>99</v>
      </c>
      <c r="O5" s="4" t="s">
        <v>99</v>
      </c>
      <c r="P5" s="4" t="s">
        <v>104</v>
      </c>
      <c r="Q5" s="4" t="s">
        <v>144</v>
      </c>
      <c r="R5" s="4" t="s">
        <v>145</v>
      </c>
      <c r="S5" s="4" t="s">
        <v>146</v>
      </c>
      <c r="T5" s="4" t="s">
        <v>147</v>
      </c>
      <c r="U5" s="4" t="s">
        <v>148</v>
      </c>
      <c r="V5" s="4" t="s">
        <v>148</v>
      </c>
    </row>
    <row r="6" spans="1:24" x14ac:dyDescent="0.25">
      <c r="A6" s="4" t="s">
        <v>149</v>
      </c>
      <c r="B6" s="4" t="s">
        <v>161</v>
      </c>
      <c r="C6" s="4" t="s">
        <v>162</v>
      </c>
      <c r="D6" s="4" t="s">
        <v>150</v>
      </c>
      <c r="E6" s="4" t="s">
        <v>151</v>
      </c>
      <c r="F6" s="4" t="s">
        <v>152</v>
      </c>
      <c r="P6" s="4" t="s">
        <v>100</v>
      </c>
      <c r="Q6" s="4" t="s">
        <v>153</v>
      </c>
      <c r="R6" s="4" t="s">
        <v>154</v>
      </c>
      <c r="S6" s="4" t="s">
        <v>155</v>
      </c>
      <c r="T6" s="4" t="s">
        <v>156</v>
      </c>
      <c r="U6" s="4" t="s">
        <v>157</v>
      </c>
      <c r="V6" s="4" t="s">
        <v>157</v>
      </c>
      <c r="W6" s="4" t="s">
        <v>158</v>
      </c>
      <c r="X6" s="4" t="s">
        <v>159</v>
      </c>
    </row>
  </sheetData>
  <mergeCells count="7">
    <mergeCell ref="A1:X1"/>
    <mergeCell ref="A2:F2"/>
    <mergeCell ref="G2:O2"/>
    <mergeCell ref="Q2:R2"/>
    <mergeCell ref="S2:T2"/>
    <mergeCell ref="U2:V2"/>
    <mergeCell ref="W2:X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4:K45"/>
  <sheetViews>
    <sheetView topLeftCell="A4" workbookViewId="0">
      <selection activeCell="J18" sqref="J18"/>
    </sheetView>
  </sheetViews>
  <sheetFormatPr baseColWidth="10" defaultColWidth="9.140625" defaultRowHeight="15" x14ac:dyDescent="0.25"/>
  <cols>
    <col min="7" max="7" width="10" bestFit="1" customWidth="1"/>
  </cols>
  <sheetData>
    <row r="14" spans="1:9" ht="28.5" x14ac:dyDescent="0.45">
      <c r="A14" s="126" t="s">
        <v>177</v>
      </c>
      <c r="B14" s="126"/>
      <c r="C14" s="126"/>
      <c r="D14" s="126"/>
      <c r="E14" s="126"/>
      <c r="F14" s="126"/>
      <c r="G14" s="126"/>
      <c r="H14" s="126"/>
      <c r="I14" s="126"/>
    </row>
    <row r="15" spans="1:9" s="4" customFormat="1" ht="15.75" x14ac:dyDescent="0.25">
      <c r="A15" s="128" t="s">
        <v>210</v>
      </c>
      <c r="B15" s="128"/>
      <c r="C15" s="128"/>
      <c r="D15" s="128"/>
      <c r="E15" s="128"/>
      <c r="F15" s="128"/>
      <c r="G15" s="128"/>
      <c r="H15" s="128"/>
      <c r="I15" s="128"/>
    </row>
    <row r="16" spans="1:9" x14ac:dyDescent="0.25">
      <c r="A16" s="17"/>
      <c r="B16" s="17" t="s">
        <v>40</v>
      </c>
      <c r="C16" s="127" t="s">
        <v>105</v>
      </c>
      <c r="D16" s="127"/>
      <c r="E16" s="127"/>
      <c r="F16" s="17" t="s">
        <v>62</v>
      </c>
      <c r="G16" s="24"/>
      <c r="H16" s="127" t="s">
        <v>255</v>
      </c>
      <c r="I16" s="127"/>
    </row>
    <row r="17" spans="1:11" x14ac:dyDescent="0.25">
      <c r="A17" s="17"/>
      <c r="B17" s="17" t="s">
        <v>41</v>
      </c>
      <c r="C17" s="127" t="s">
        <v>172</v>
      </c>
      <c r="D17" s="127"/>
      <c r="E17" s="127"/>
      <c r="F17" s="17" t="s">
        <v>178</v>
      </c>
      <c r="G17" s="24"/>
      <c r="H17" s="127" t="s">
        <v>111</v>
      </c>
      <c r="I17" s="127"/>
    </row>
    <row r="18" spans="1:11" x14ac:dyDescent="0.25">
      <c r="A18" s="17"/>
      <c r="B18" s="17" t="s">
        <v>47</v>
      </c>
      <c r="C18" s="127" t="s">
        <v>108</v>
      </c>
      <c r="D18" s="127"/>
      <c r="E18" s="127"/>
      <c r="F18" s="17" t="s">
        <v>179</v>
      </c>
      <c r="G18" s="17"/>
      <c r="H18" s="127" t="s">
        <v>109</v>
      </c>
      <c r="I18" s="127"/>
      <c r="K18" s="4"/>
    </row>
    <row r="19" spans="1:11" ht="15.75" thickBot="1" x14ac:dyDescent="0.3">
      <c r="A19" s="117"/>
      <c r="B19" s="117"/>
      <c r="C19" s="117"/>
      <c r="D19" s="117"/>
      <c r="E19" s="117"/>
      <c r="F19" s="117"/>
      <c r="G19" s="117"/>
      <c r="H19" s="117"/>
      <c r="I19" s="117"/>
    </row>
    <row r="20" spans="1:11" ht="19.5" thickBot="1" x14ac:dyDescent="0.35">
      <c r="A20" s="120" t="s">
        <v>181</v>
      </c>
      <c r="B20" s="121"/>
      <c r="C20" s="120" t="s">
        <v>71</v>
      </c>
      <c r="D20" s="120"/>
      <c r="E20" s="120" t="s">
        <v>189</v>
      </c>
      <c r="F20" s="120"/>
      <c r="G20" s="18" t="s">
        <v>182</v>
      </c>
      <c r="H20" s="120" t="s">
        <v>183</v>
      </c>
      <c r="I20" s="120"/>
    </row>
    <row r="21" spans="1:11" ht="15.75" thickBot="1" x14ac:dyDescent="0.3">
      <c r="A21" s="123" t="s">
        <v>180</v>
      </c>
      <c r="B21" s="123"/>
      <c r="C21" s="124">
        <v>56</v>
      </c>
      <c r="D21" s="124"/>
      <c r="E21" s="124">
        <v>45</v>
      </c>
      <c r="F21" s="124"/>
      <c r="G21" s="125">
        <f>AVERAGE(C21,E21)</f>
        <v>50.5</v>
      </c>
      <c r="H21" s="120" t="str">
        <f>IF(G21&gt;=80,"Excellent", IF(G21&gt;=70, "Very Good", IF(G21&gt;=60, "Good", IF(G21&gt;=50, "Average", IF(G21&lt;=50, "Below Average")))))</f>
        <v>Average</v>
      </c>
      <c r="I21" s="120"/>
    </row>
    <row r="22" spans="1:11" ht="15.75" thickBot="1" x14ac:dyDescent="0.3">
      <c r="A22" s="123"/>
      <c r="B22" s="123"/>
      <c r="C22" s="122"/>
      <c r="D22" s="122"/>
      <c r="E22" s="122"/>
      <c r="F22" s="122"/>
      <c r="G22" s="125"/>
      <c r="H22" s="120"/>
      <c r="I22" s="120"/>
    </row>
    <row r="23" spans="1:11" ht="15.75" customHeight="1" thickBot="1" x14ac:dyDescent="0.3">
      <c r="A23" s="123" t="s">
        <v>184</v>
      </c>
      <c r="B23" s="123"/>
      <c r="C23" s="122">
        <v>37</v>
      </c>
      <c r="D23" s="122"/>
      <c r="E23" s="122">
        <v>68</v>
      </c>
      <c r="F23" s="122"/>
      <c r="G23" s="125">
        <f t="shared" ref="G23" si="0">AVERAGE(C23,E23)</f>
        <v>52.5</v>
      </c>
      <c r="H23" s="120" t="str">
        <f t="shared" ref="H23" si="1">IF(G23&gt;=80,"Excellent", IF(G23&gt;=70, "Very Good", IF(G23&gt;=60, "Good", IF(G23&gt;=50, "Average", IF(G23&lt;=50, "Below Average")))))</f>
        <v>Average</v>
      </c>
      <c r="I23" s="120"/>
    </row>
    <row r="24" spans="1:11" ht="15.75" customHeight="1" thickBot="1" x14ac:dyDescent="0.3">
      <c r="A24" s="123"/>
      <c r="B24" s="123"/>
      <c r="C24" s="122"/>
      <c r="D24" s="122"/>
      <c r="E24" s="122"/>
      <c r="F24" s="122"/>
      <c r="G24" s="125"/>
      <c r="H24" s="120"/>
      <c r="I24" s="120"/>
    </row>
    <row r="25" spans="1:11" ht="15.75" customHeight="1" thickBot="1" x14ac:dyDescent="0.3">
      <c r="A25" s="123" t="s">
        <v>185</v>
      </c>
      <c r="B25" s="123"/>
      <c r="C25" s="122">
        <v>58</v>
      </c>
      <c r="D25" s="122"/>
      <c r="E25" s="122">
        <v>47</v>
      </c>
      <c r="F25" s="122"/>
      <c r="G25" s="125">
        <f t="shared" ref="G25" si="2">AVERAGE(C25,E25)</f>
        <v>52.5</v>
      </c>
      <c r="H25" s="120" t="str">
        <f t="shared" ref="H25" si="3">IF(G25&gt;=80,"Excellent", IF(G25&gt;=70, "Very Good", IF(G25&gt;=60, "Good", IF(G25&gt;=50, "Average", IF(G25&lt;=50, "Below Average")))))</f>
        <v>Average</v>
      </c>
      <c r="I25" s="120"/>
    </row>
    <row r="26" spans="1:11" ht="15.75" customHeight="1" thickBot="1" x14ac:dyDescent="0.3">
      <c r="A26" s="123"/>
      <c r="B26" s="123"/>
      <c r="C26" s="122"/>
      <c r="D26" s="122"/>
      <c r="E26" s="122"/>
      <c r="F26" s="122"/>
      <c r="G26" s="125"/>
      <c r="H26" s="120"/>
      <c r="I26" s="120"/>
    </row>
    <row r="27" spans="1:11" ht="15.75" customHeight="1" thickBot="1" x14ac:dyDescent="0.3">
      <c r="A27" s="123" t="s">
        <v>186</v>
      </c>
      <c r="B27" s="123"/>
      <c r="C27" s="122">
        <v>77</v>
      </c>
      <c r="D27" s="122"/>
      <c r="E27" s="122">
        <v>69</v>
      </c>
      <c r="F27" s="122"/>
      <c r="G27" s="125">
        <f t="shared" ref="G27" si="4">AVERAGE(C27,E27)</f>
        <v>73</v>
      </c>
      <c r="H27" s="120" t="str">
        <f t="shared" ref="H27" si="5">IF(G27&gt;=80,"Excellent", IF(G27&gt;=70, "Very Good", IF(G27&gt;=60, "Good", IF(G27&gt;=50, "Average", IF(G27&lt;=50, "Below Average")))))</f>
        <v>Very Good</v>
      </c>
      <c r="I27" s="120"/>
    </row>
    <row r="28" spans="1:11" ht="15.75" customHeight="1" thickBot="1" x14ac:dyDescent="0.3">
      <c r="A28" s="123"/>
      <c r="B28" s="123"/>
      <c r="C28" s="122"/>
      <c r="D28" s="122"/>
      <c r="E28" s="122"/>
      <c r="F28" s="122"/>
      <c r="G28" s="125"/>
      <c r="H28" s="120"/>
      <c r="I28" s="120"/>
    </row>
    <row r="29" spans="1:11" ht="15.75" customHeight="1" thickBot="1" x14ac:dyDescent="0.3">
      <c r="A29" s="123" t="s">
        <v>187</v>
      </c>
      <c r="B29" s="123"/>
      <c r="C29" s="122">
        <v>56</v>
      </c>
      <c r="D29" s="122"/>
      <c r="E29" s="122">
        <v>50</v>
      </c>
      <c r="F29" s="122"/>
      <c r="G29" s="125">
        <f t="shared" ref="G29" si="6">AVERAGE(C29,E29)</f>
        <v>53</v>
      </c>
      <c r="H29" s="120" t="str">
        <f t="shared" ref="H29" si="7">IF(G29&gt;=80,"Excellent", IF(G29&gt;=70, "Very Good", IF(G29&gt;=60, "Good", IF(G29&gt;=50, "Average", IF(G29&lt;=50, "Below Average")))))</f>
        <v>Average</v>
      </c>
      <c r="I29" s="120"/>
    </row>
    <row r="30" spans="1:11" ht="15.75" customHeight="1" thickBot="1" x14ac:dyDescent="0.3">
      <c r="A30" s="123"/>
      <c r="B30" s="123"/>
      <c r="C30" s="122"/>
      <c r="D30" s="122"/>
      <c r="E30" s="122"/>
      <c r="F30" s="122"/>
      <c r="G30" s="125"/>
      <c r="H30" s="120"/>
      <c r="I30" s="120"/>
    </row>
    <row r="31" spans="1:11" ht="15.75" customHeight="1" thickBot="1" x14ac:dyDescent="0.3">
      <c r="A31" s="123" t="s">
        <v>188</v>
      </c>
      <c r="B31" s="123"/>
      <c r="C31" s="122">
        <v>49</v>
      </c>
      <c r="D31" s="122"/>
      <c r="E31" s="122">
        <v>59</v>
      </c>
      <c r="F31" s="122"/>
      <c r="G31" s="125">
        <f t="shared" ref="G31" si="8">AVERAGE(C31,E31)</f>
        <v>54</v>
      </c>
      <c r="H31" s="120" t="str">
        <f t="shared" ref="H31" si="9">IF(G31&gt;=80,"Excellent", IF(G31&gt;=70, "Very Good", IF(G31&gt;=60, "Good", IF(G31&gt;=50, "Average", IF(G31&lt;=50, "Below Average")))))</f>
        <v>Average</v>
      </c>
      <c r="I31" s="120"/>
    </row>
    <row r="32" spans="1:11" ht="15.75" customHeight="1" thickBot="1" x14ac:dyDescent="0.3">
      <c r="A32" s="123"/>
      <c r="B32" s="123"/>
      <c r="C32" s="122"/>
      <c r="D32" s="122"/>
      <c r="E32" s="122"/>
      <c r="F32" s="122"/>
      <c r="G32" s="125"/>
      <c r="H32" s="120"/>
      <c r="I32" s="120"/>
    </row>
    <row r="33" spans="1:9" ht="19.5" thickBot="1" x14ac:dyDescent="0.35">
      <c r="A33" s="120" t="s">
        <v>190</v>
      </c>
      <c r="B33" s="120"/>
      <c r="C33" s="125">
        <f>AVERAGE(C21:D32)</f>
        <v>55.5</v>
      </c>
      <c r="D33" s="125"/>
      <c r="E33" s="125">
        <f>AVERAGE(E21:F30)</f>
        <v>55.8</v>
      </c>
      <c r="F33" s="125"/>
      <c r="G33" s="27">
        <f>AVERAGE(G21:G30)</f>
        <v>56.3</v>
      </c>
      <c r="H33" s="120" t="str">
        <f>IF(G33&gt;=80,"Excellent", IF(G33&gt;=70, "Very Good", IF(G33&gt;=60, "Good", IF(G33&gt;=50, "Average", IF(G33&lt;=50, "Below Average")))))</f>
        <v>Average</v>
      </c>
      <c r="I33" s="120"/>
    </row>
    <row r="35" spans="1:9" ht="15" customHeight="1" x14ac:dyDescent="0.25">
      <c r="A35" s="129" t="s">
        <v>191</v>
      </c>
      <c r="B35" s="129"/>
      <c r="C35" s="131" t="str">
        <f>IF(C33&lt;=50, "knowing that your success in this exammation depends mostly on your physics, your results in physics isn't encouraging. You've to sit up and change the situation. Engage yourself in group work", IF(C33&gt;=50, "knowing that your success in this exammation depends mostly on your physics, do well to work harder on your physics. You can do better, engage yourself in solving more problems"))</f>
        <v>knowing that your success in this exammation depends mostly on your physics, do well to work harder on your physics. You can do better, engage yourself in solving more problems</v>
      </c>
      <c r="D35" s="132"/>
      <c r="E35" s="132"/>
      <c r="F35" s="132"/>
      <c r="G35" s="132"/>
      <c r="H35" s="132"/>
      <c r="I35" s="133"/>
    </row>
    <row r="36" spans="1:9" x14ac:dyDescent="0.25">
      <c r="C36" s="134"/>
      <c r="D36" s="135"/>
      <c r="E36" s="135"/>
      <c r="F36" s="135"/>
      <c r="G36" s="135"/>
      <c r="H36" s="135"/>
      <c r="I36" s="136"/>
    </row>
    <row r="37" spans="1:9" x14ac:dyDescent="0.25">
      <c r="C37" s="137"/>
      <c r="D37" s="138"/>
      <c r="E37" s="138"/>
      <c r="F37" s="138"/>
      <c r="G37" s="138"/>
      <c r="H37" s="138"/>
      <c r="I37" s="139"/>
    </row>
    <row r="38" spans="1:9" s="4" customFormat="1" x14ac:dyDescent="0.25">
      <c r="C38" s="19"/>
      <c r="D38" s="19"/>
      <c r="E38" s="19"/>
      <c r="F38" s="19"/>
      <c r="G38" s="19"/>
      <c r="H38" s="19"/>
      <c r="I38" s="19"/>
    </row>
    <row r="39" spans="1:9" x14ac:dyDescent="0.25">
      <c r="A39" s="129" t="s">
        <v>192</v>
      </c>
      <c r="B39" s="129"/>
      <c r="C39" s="130" t="str">
        <f>IF(E33&lt;=50, "Mathematics have proven over the years to be tougher to Anglophones. This shouldn’t give you a reason to perform poorly. Give yourself the to perform better", IF(E33&gt;=50, " Mathematics have proven over the years to be tougher to Anglophones. Your performance shows you’re on the right track. You can do greater. Group work will add much"))</f>
        <v xml:space="preserve"> Mathematics have proven over the years to be tougher to Anglophones. Your performance shows you’re on the right track. You can do greater. Group work will add much</v>
      </c>
      <c r="D39" s="130"/>
      <c r="E39" s="130"/>
      <c r="F39" s="130"/>
      <c r="G39" s="130"/>
      <c r="H39" s="130"/>
      <c r="I39" s="130"/>
    </row>
    <row r="40" spans="1:9" x14ac:dyDescent="0.25">
      <c r="C40" s="130"/>
      <c r="D40" s="130"/>
      <c r="E40" s="130"/>
      <c r="F40" s="130"/>
      <c r="G40" s="130"/>
      <c r="H40" s="130"/>
      <c r="I40" s="130"/>
    </row>
    <row r="41" spans="1:9" x14ac:dyDescent="0.25">
      <c r="C41" s="130"/>
      <c r="D41" s="130"/>
      <c r="E41" s="130"/>
      <c r="F41" s="130"/>
      <c r="G41" s="130"/>
      <c r="H41" s="130"/>
      <c r="I41" s="130"/>
    </row>
    <row r="42" spans="1:9" x14ac:dyDescent="0.25">
      <c r="A42" s="14"/>
      <c r="B42" s="14"/>
      <c r="C42" s="14"/>
      <c r="D42" s="14"/>
      <c r="E42" s="14"/>
      <c r="F42" s="14"/>
      <c r="G42" s="14"/>
      <c r="H42" s="14"/>
      <c r="I42" s="14"/>
    </row>
    <row r="43" spans="1:9" x14ac:dyDescent="0.25">
      <c r="A43" s="20"/>
      <c r="B43" s="20"/>
      <c r="C43" s="119" t="s">
        <v>194</v>
      </c>
      <c r="D43" s="119"/>
      <c r="E43" s="20"/>
      <c r="F43" s="20"/>
      <c r="G43" s="119" t="s">
        <v>211</v>
      </c>
      <c r="H43" s="119"/>
      <c r="I43" s="14"/>
    </row>
    <row r="44" spans="1:9" x14ac:dyDescent="0.25">
      <c r="A44" s="117"/>
      <c r="B44" s="118"/>
      <c r="C44" s="14"/>
      <c r="D44" s="117"/>
      <c r="E44" s="117"/>
      <c r="F44" s="14"/>
      <c r="G44" s="117"/>
      <c r="H44" s="117"/>
      <c r="I44" s="14"/>
    </row>
    <row r="45" spans="1:9" x14ac:dyDescent="0.25">
      <c r="A45" s="14"/>
      <c r="B45" s="14"/>
      <c r="C45" s="14"/>
      <c r="D45" s="14"/>
      <c r="E45" s="14"/>
      <c r="F45" s="14"/>
      <c r="G45" s="14"/>
      <c r="H45" s="14"/>
      <c r="I45" s="14"/>
    </row>
  </sheetData>
  <mergeCells count="56">
    <mergeCell ref="A39:B39"/>
    <mergeCell ref="C39:I41"/>
    <mergeCell ref="G43:H43"/>
    <mergeCell ref="C20:D20"/>
    <mergeCell ref="E20:F20"/>
    <mergeCell ref="A35:B35"/>
    <mergeCell ref="G25:G26"/>
    <mergeCell ref="G27:G28"/>
    <mergeCell ref="G29:G30"/>
    <mergeCell ref="G31:G32"/>
    <mergeCell ref="E21:F22"/>
    <mergeCell ref="C35:I37"/>
    <mergeCell ref="H20:I20"/>
    <mergeCell ref="H31:I32"/>
    <mergeCell ref="C23:D24"/>
    <mergeCell ref="C25:D26"/>
    <mergeCell ref="A14:I14"/>
    <mergeCell ref="H18:I18"/>
    <mergeCell ref="C16:E16"/>
    <mergeCell ref="C17:E17"/>
    <mergeCell ref="A15:I15"/>
    <mergeCell ref="H16:I16"/>
    <mergeCell ref="H17:I17"/>
    <mergeCell ref="C18:E18"/>
    <mergeCell ref="A19:I19"/>
    <mergeCell ref="H33:I33"/>
    <mergeCell ref="A21:B22"/>
    <mergeCell ref="A23:B24"/>
    <mergeCell ref="A25:B26"/>
    <mergeCell ref="A27:B28"/>
    <mergeCell ref="A29:B30"/>
    <mergeCell ref="A31:B32"/>
    <mergeCell ref="C21:D22"/>
    <mergeCell ref="A33:B33"/>
    <mergeCell ref="C33:D33"/>
    <mergeCell ref="E33:F33"/>
    <mergeCell ref="E31:F32"/>
    <mergeCell ref="G21:G22"/>
    <mergeCell ref="G23:G24"/>
    <mergeCell ref="H21:I22"/>
    <mergeCell ref="A44:B44"/>
    <mergeCell ref="D44:E44"/>
    <mergeCell ref="G44:H44"/>
    <mergeCell ref="C43:D43"/>
    <mergeCell ref="A20:B20"/>
    <mergeCell ref="H23:I24"/>
    <mergeCell ref="H25:I26"/>
    <mergeCell ref="H27:I28"/>
    <mergeCell ref="H29:I30"/>
    <mergeCell ref="C27:D28"/>
    <mergeCell ref="C29:D30"/>
    <mergeCell ref="C31:D32"/>
    <mergeCell ref="E23:F24"/>
    <mergeCell ref="E25:F26"/>
    <mergeCell ref="E27:F28"/>
    <mergeCell ref="E29:F30"/>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3"/>
  <sheetViews>
    <sheetView workbookViewId="0">
      <selection activeCell="A4" sqref="A4"/>
    </sheetView>
  </sheetViews>
  <sheetFormatPr baseColWidth="10" defaultColWidth="9.140625" defaultRowHeight="15" x14ac:dyDescent="0.25"/>
  <cols>
    <col min="1" max="1" width="18.42578125" customWidth="1"/>
    <col min="3" max="3" width="13" customWidth="1"/>
    <col min="4" max="4" width="17.42578125" customWidth="1"/>
    <col min="5" max="5" width="13.28515625" customWidth="1"/>
    <col min="6" max="6" width="12.7109375" customWidth="1"/>
    <col min="7" max="7" width="13.140625" customWidth="1"/>
    <col min="8" max="9" width="14.42578125" customWidth="1"/>
    <col min="10" max="10" width="13.140625" customWidth="1"/>
    <col min="11" max="11" width="10.28515625" customWidth="1"/>
    <col min="12" max="12" width="11" customWidth="1"/>
    <col min="13" max="13" width="10" customWidth="1"/>
    <col min="14" max="14" width="11.7109375" customWidth="1"/>
    <col min="15" max="15" width="12" customWidth="1"/>
  </cols>
  <sheetData>
    <row r="1" spans="1:15" ht="23.25" x14ac:dyDescent="0.35">
      <c r="A1" s="140" t="s">
        <v>214</v>
      </c>
      <c r="B1" s="140"/>
      <c r="C1" s="140"/>
      <c r="D1" s="140"/>
      <c r="E1" s="140"/>
      <c r="F1" s="140"/>
      <c r="G1" s="140"/>
      <c r="H1" s="140"/>
      <c r="I1" s="140"/>
      <c r="J1" s="140"/>
      <c r="K1" s="140"/>
      <c r="L1" s="140"/>
      <c r="M1" s="140"/>
      <c r="N1" s="140"/>
      <c r="O1" s="140"/>
    </row>
    <row r="2" spans="1:15" x14ac:dyDescent="0.25">
      <c r="A2" s="23" t="s">
        <v>40</v>
      </c>
      <c r="B2" s="23" t="s">
        <v>62</v>
      </c>
      <c r="C2" s="23" t="s">
        <v>83</v>
      </c>
      <c r="D2" s="23" t="s">
        <v>198</v>
      </c>
      <c r="E2" s="23" t="s">
        <v>199</v>
      </c>
      <c r="F2" s="23" t="s">
        <v>200</v>
      </c>
      <c r="G2" s="23" t="s">
        <v>201</v>
      </c>
      <c r="H2" s="23" t="s">
        <v>202</v>
      </c>
      <c r="I2" s="23" t="s">
        <v>203</v>
      </c>
      <c r="J2" s="23" t="s">
        <v>204</v>
      </c>
      <c r="K2" s="23" t="s">
        <v>205</v>
      </c>
      <c r="L2" s="23" t="s">
        <v>206</v>
      </c>
      <c r="M2" s="23" t="s">
        <v>207</v>
      </c>
      <c r="N2" s="23" t="s">
        <v>208</v>
      </c>
      <c r="O2" s="23" t="s">
        <v>209</v>
      </c>
    </row>
    <row r="3" spans="1:15" x14ac:dyDescent="0.25">
      <c r="A3" s="4" t="s">
        <v>160</v>
      </c>
      <c r="B3" s="4" t="s">
        <v>213</v>
      </c>
      <c r="C3" s="4" t="s">
        <v>111</v>
      </c>
      <c r="D3">
        <v>67</v>
      </c>
      <c r="E3">
        <v>46</v>
      </c>
      <c r="F3">
        <v>56</v>
      </c>
      <c r="G3">
        <v>97</v>
      </c>
      <c r="H3">
        <v>64</v>
      </c>
      <c r="I3">
        <v>78</v>
      </c>
      <c r="J3">
        <v>45</v>
      </c>
      <c r="K3">
        <v>78</v>
      </c>
      <c r="L3">
        <v>36</v>
      </c>
      <c r="M3">
        <v>90</v>
      </c>
      <c r="N3">
        <v>54</v>
      </c>
      <c r="O3">
        <v>36</v>
      </c>
    </row>
  </sheetData>
  <mergeCells count="1">
    <mergeCell ref="A1:O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3"/>
  <sheetViews>
    <sheetView workbookViewId="0">
      <selection activeCell="A3" sqref="A3"/>
    </sheetView>
  </sheetViews>
  <sheetFormatPr baseColWidth="10" defaultColWidth="9.140625" defaultRowHeight="15" x14ac:dyDescent="0.25"/>
  <cols>
    <col min="1" max="1" width="18.140625" customWidth="1"/>
    <col min="3" max="3" width="10.28515625" customWidth="1"/>
    <col min="4" max="4" width="17" customWidth="1"/>
    <col min="5" max="5" width="13" customWidth="1"/>
    <col min="6" max="6" width="13.42578125" customWidth="1"/>
    <col min="7" max="7" width="13.140625" customWidth="1"/>
    <col min="8" max="8" width="14.42578125" customWidth="1"/>
    <col min="9" max="9" width="14.28515625" customWidth="1"/>
    <col min="10" max="10" width="13.5703125" customWidth="1"/>
    <col min="11" max="12" width="11.5703125" customWidth="1"/>
    <col min="13" max="13" width="12.140625" customWidth="1"/>
    <col min="14" max="14" width="11.140625" customWidth="1"/>
    <col min="15" max="15" width="12" customWidth="1"/>
    <col min="16" max="16" width="16" customWidth="1"/>
    <col min="17" max="17" width="11.7109375" customWidth="1"/>
    <col min="18" max="18" width="11.42578125" customWidth="1"/>
    <col min="19" max="19" width="12.7109375" customWidth="1"/>
    <col min="20" max="21" width="13.28515625" customWidth="1"/>
    <col min="22" max="22" width="12.42578125" customWidth="1"/>
    <col min="23" max="23" width="9.42578125" customWidth="1"/>
    <col min="26" max="26" width="10.42578125" customWidth="1"/>
    <col min="27" max="27" width="10.85546875" customWidth="1"/>
    <col min="28" max="28" width="11.5703125" customWidth="1"/>
    <col min="32" max="32" width="10.5703125" customWidth="1"/>
    <col min="33" max="33" width="10.7109375" customWidth="1"/>
  </cols>
  <sheetData>
    <row r="1" spans="1:33" ht="23.25" x14ac:dyDescent="0.35">
      <c r="A1" s="140" t="s">
        <v>239</v>
      </c>
      <c r="B1" s="140"/>
      <c r="C1" s="140"/>
      <c r="D1" s="140"/>
      <c r="E1" s="140"/>
      <c r="F1" s="140"/>
      <c r="G1" s="140"/>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row>
    <row r="2" spans="1:33" x14ac:dyDescent="0.25">
      <c r="A2" s="23" t="s">
        <v>40</v>
      </c>
      <c r="B2" s="23" t="s">
        <v>62</v>
      </c>
      <c r="C2" s="23" t="s">
        <v>83</v>
      </c>
      <c r="D2" s="23" t="s">
        <v>215</v>
      </c>
      <c r="E2" s="23" t="s">
        <v>216</v>
      </c>
      <c r="F2" s="23" t="s">
        <v>217</v>
      </c>
      <c r="G2" s="23" t="s">
        <v>220</v>
      </c>
      <c r="H2" s="23" t="s">
        <v>219</v>
      </c>
      <c r="I2" s="23" t="s">
        <v>221</v>
      </c>
      <c r="J2" s="23" t="s">
        <v>204</v>
      </c>
      <c r="K2" s="23" t="s">
        <v>205</v>
      </c>
      <c r="L2" s="23" t="s">
        <v>206</v>
      </c>
      <c r="M2" s="23" t="s">
        <v>207</v>
      </c>
      <c r="N2" s="23" t="s">
        <v>208</v>
      </c>
      <c r="O2" s="23" t="s">
        <v>209</v>
      </c>
      <c r="P2" s="23" t="s">
        <v>222</v>
      </c>
      <c r="Q2" s="23" t="s">
        <v>223</v>
      </c>
      <c r="R2" s="23" t="s">
        <v>224</v>
      </c>
      <c r="S2" s="23" t="s">
        <v>218</v>
      </c>
      <c r="T2" s="23" t="s">
        <v>225</v>
      </c>
      <c r="U2" s="23" t="s">
        <v>226</v>
      </c>
      <c r="V2" s="23" t="s">
        <v>227</v>
      </c>
      <c r="W2" s="23" t="s">
        <v>228</v>
      </c>
      <c r="X2" s="23" t="s">
        <v>229</v>
      </c>
      <c r="Y2" s="23" t="s">
        <v>230</v>
      </c>
      <c r="Z2" s="23" t="s">
        <v>231</v>
      </c>
      <c r="AA2" s="23" t="s">
        <v>232</v>
      </c>
      <c r="AB2" s="23" t="s">
        <v>233</v>
      </c>
      <c r="AC2" s="23" t="s">
        <v>234</v>
      </c>
      <c r="AD2" s="23" t="s">
        <v>235</v>
      </c>
      <c r="AE2" s="23" t="s">
        <v>236</v>
      </c>
      <c r="AF2" s="23" t="s">
        <v>237</v>
      </c>
      <c r="AG2" s="23" t="s">
        <v>238</v>
      </c>
    </row>
    <row r="3" spans="1:33" x14ac:dyDescent="0.25">
      <c r="A3" s="4" t="s">
        <v>251</v>
      </c>
      <c r="B3" s="4" t="s">
        <v>252</v>
      </c>
      <c r="C3" s="4" t="s">
        <v>253</v>
      </c>
      <c r="D3">
        <v>34</v>
      </c>
      <c r="E3">
        <v>23</v>
      </c>
      <c r="F3">
        <v>45</v>
      </c>
      <c r="G3">
        <v>48</v>
      </c>
      <c r="H3">
        <v>28</v>
      </c>
      <c r="I3">
        <v>37</v>
      </c>
      <c r="J3">
        <v>12</v>
      </c>
      <c r="K3">
        <v>14</v>
      </c>
      <c r="L3">
        <v>8</v>
      </c>
      <c r="M3">
        <v>9</v>
      </c>
      <c r="N3">
        <v>11</v>
      </c>
      <c r="O3">
        <v>10</v>
      </c>
      <c r="P3">
        <v>33</v>
      </c>
      <c r="Q3">
        <v>32</v>
      </c>
      <c r="R3">
        <v>34</v>
      </c>
      <c r="S3">
        <v>31</v>
      </c>
      <c r="T3">
        <v>13</v>
      </c>
      <c r="U3">
        <v>21</v>
      </c>
      <c r="V3">
        <v>34</v>
      </c>
      <c r="W3">
        <v>30</v>
      </c>
      <c r="X3">
        <v>23</v>
      </c>
      <c r="Y3">
        <v>21</v>
      </c>
      <c r="Z3">
        <v>25</v>
      </c>
      <c r="AA3">
        <v>11</v>
      </c>
      <c r="AB3">
        <v>14</v>
      </c>
      <c r="AC3">
        <v>13</v>
      </c>
      <c r="AD3">
        <v>15</v>
      </c>
      <c r="AE3">
        <v>9</v>
      </c>
      <c r="AF3">
        <v>8</v>
      </c>
      <c r="AG3">
        <v>10</v>
      </c>
    </row>
  </sheetData>
  <mergeCells count="1">
    <mergeCell ref="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45"/>
  <sheetViews>
    <sheetView tabSelected="1" workbookViewId="0">
      <selection activeCell="K20" sqref="K20"/>
    </sheetView>
  </sheetViews>
  <sheetFormatPr baseColWidth="10" defaultColWidth="9.140625" defaultRowHeight="15" x14ac:dyDescent="0.25"/>
  <sheetData>
    <row r="1" spans="1:9" x14ac:dyDescent="0.25">
      <c r="A1" s="4"/>
      <c r="B1" s="4"/>
      <c r="C1" s="4"/>
      <c r="D1" s="4"/>
      <c r="E1" s="4"/>
      <c r="F1" s="4"/>
      <c r="G1" s="4"/>
      <c r="H1" s="4"/>
      <c r="I1" s="4"/>
    </row>
    <row r="2" spans="1:9" x14ac:dyDescent="0.25">
      <c r="A2" s="4"/>
      <c r="B2" s="4"/>
      <c r="C2" s="4"/>
      <c r="D2" s="4"/>
      <c r="E2" s="4"/>
      <c r="F2" s="4"/>
      <c r="G2" s="4"/>
      <c r="H2" s="4"/>
      <c r="I2" s="4"/>
    </row>
    <row r="3" spans="1:9" x14ac:dyDescent="0.25">
      <c r="A3" s="4"/>
      <c r="B3" s="4"/>
      <c r="C3" s="4"/>
      <c r="D3" s="4"/>
      <c r="E3" s="4"/>
      <c r="F3" s="4"/>
      <c r="G3" s="4"/>
      <c r="H3" s="4"/>
      <c r="I3" s="4"/>
    </row>
    <row r="4" spans="1:9" x14ac:dyDescent="0.25">
      <c r="A4" s="4"/>
      <c r="B4" s="4"/>
      <c r="C4" s="4"/>
      <c r="D4" s="4"/>
      <c r="E4" s="4"/>
      <c r="F4" s="4"/>
      <c r="G4" s="4"/>
      <c r="H4" s="4"/>
      <c r="I4" s="4"/>
    </row>
    <row r="5" spans="1:9" x14ac:dyDescent="0.25">
      <c r="A5" s="4"/>
      <c r="B5" s="4"/>
      <c r="C5" s="4"/>
      <c r="D5" s="4"/>
      <c r="E5" s="4"/>
      <c r="F5" s="4"/>
      <c r="G5" s="4"/>
      <c r="H5" s="4"/>
      <c r="I5" s="4"/>
    </row>
    <row r="6" spans="1:9" x14ac:dyDescent="0.25">
      <c r="A6" s="4"/>
      <c r="B6" s="4"/>
      <c r="C6" s="4"/>
      <c r="D6" s="4"/>
      <c r="E6" s="4"/>
      <c r="F6" s="4"/>
      <c r="G6" s="4"/>
      <c r="H6" s="4"/>
      <c r="I6" s="4"/>
    </row>
    <row r="7" spans="1:9" x14ac:dyDescent="0.25">
      <c r="A7" s="4"/>
      <c r="B7" s="4"/>
      <c r="C7" s="4"/>
      <c r="D7" s="4"/>
      <c r="E7" s="4"/>
      <c r="F7" s="4"/>
      <c r="G7" s="4"/>
      <c r="H7" s="4"/>
      <c r="I7" s="4"/>
    </row>
    <row r="8" spans="1:9" x14ac:dyDescent="0.25">
      <c r="A8" s="4"/>
      <c r="B8" s="4"/>
      <c r="C8" s="4"/>
      <c r="D8" s="4"/>
      <c r="E8" s="4"/>
      <c r="F8" s="4"/>
      <c r="G8" s="4"/>
      <c r="H8" s="4"/>
      <c r="I8" s="4"/>
    </row>
    <row r="9" spans="1:9" x14ac:dyDescent="0.25">
      <c r="A9" s="4"/>
      <c r="B9" s="4"/>
      <c r="C9" s="4"/>
      <c r="D9" s="4"/>
      <c r="E9" s="4"/>
      <c r="F9" s="4"/>
      <c r="G9" s="4"/>
      <c r="H9" s="4"/>
      <c r="I9" s="4"/>
    </row>
    <row r="10" spans="1:9" x14ac:dyDescent="0.25">
      <c r="A10" s="4"/>
      <c r="B10" s="4"/>
      <c r="C10" s="4"/>
      <c r="D10" s="4"/>
      <c r="E10" s="4"/>
      <c r="F10" s="4"/>
      <c r="G10" s="4"/>
      <c r="H10" s="4"/>
      <c r="I10" s="4"/>
    </row>
    <row r="11" spans="1:9" x14ac:dyDescent="0.25">
      <c r="A11" s="4"/>
      <c r="B11" s="4"/>
      <c r="C11" s="4"/>
      <c r="D11" s="4"/>
      <c r="E11" s="4"/>
      <c r="F11" s="4"/>
      <c r="G11" s="4"/>
      <c r="H11" s="4"/>
      <c r="I11" s="4"/>
    </row>
    <row r="12" spans="1:9" x14ac:dyDescent="0.25">
      <c r="A12" s="4"/>
      <c r="B12" s="4"/>
      <c r="C12" s="4"/>
      <c r="D12" s="4"/>
      <c r="E12" s="4"/>
      <c r="F12" s="4"/>
      <c r="G12" s="4"/>
      <c r="H12" s="4"/>
      <c r="I12" s="4"/>
    </row>
    <row r="13" spans="1:9" x14ac:dyDescent="0.25">
      <c r="A13" s="4"/>
      <c r="B13" s="4"/>
      <c r="C13" s="4"/>
      <c r="D13" s="4"/>
      <c r="E13" s="4"/>
      <c r="F13" s="4"/>
      <c r="G13" s="4"/>
      <c r="H13" s="4"/>
      <c r="I13" s="4"/>
    </row>
    <row r="14" spans="1:9" ht="28.5" x14ac:dyDescent="0.45">
      <c r="A14" s="126" t="s">
        <v>177</v>
      </c>
      <c r="B14" s="126"/>
      <c r="C14" s="126"/>
      <c r="D14" s="126"/>
      <c r="E14" s="126"/>
      <c r="F14" s="126"/>
      <c r="G14" s="126"/>
      <c r="H14" s="126"/>
      <c r="I14" s="126"/>
    </row>
    <row r="15" spans="1:9" ht="15.75" x14ac:dyDescent="0.25">
      <c r="A15" s="128" t="s">
        <v>246</v>
      </c>
      <c r="B15" s="128"/>
      <c r="C15" s="128"/>
      <c r="D15" s="128"/>
      <c r="E15" s="128"/>
      <c r="F15" s="128"/>
      <c r="G15" s="128"/>
      <c r="H15" s="128"/>
      <c r="I15" s="128"/>
    </row>
    <row r="16" spans="1:9" x14ac:dyDescent="0.25">
      <c r="A16" s="17"/>
      <c r="B16" s="17" t="s">
        <v>40</v>
      </c>
      <c r="C16" s="127" t="s">
        <v>105</v>
      </c>
      <c r="D16" s="127"/>
      <c r="E16" s="127"/>
      <c r="F16" s="17" t="s">
        <v>62</v>
      </c>
      <c r="G16" s="25"/>
      <c r="H16" s="127" t="s">
        <v>254</v>
      </c>
      <c r="I16" s="127"/>
    </row>
    <row r="17" spans="1:9" x14ac:dyDescent="0.25">
      <c r="A17" s="17"/>
      <c r="B17" s="17" t="s">
        <v>41</v>
      </c>
      <c r="C17" s="127" t="s">
        <v>172</v>
      </c>
      <c r="D17" s="127"/>
      <c r="E17" s="127"/>
      <c r="F17" s="17" t="s">
        <v>178</v>
      </c>
      <c r="G17" s="25"/>
      <c r="H17" s="127" t="s">
        <v>111</v>
      </c>
      <c r="I17" s="127"/>
    </row>
    <row r="18" spans="1:9" x14ac:dyDescent="0.25">
      <c r="A18" s="17"/>
      <c r="B18" s="17" t="s">
        <v>47</v>
      </c>
      <c r="C18" s="127" t="s">
        <v>108</v>
      </c>
      <c r="D18" s="127"/>
      <c r="E18" s="127"/>
      <c r="F18" s="17" t="s">
        <v>179</v>
      </c>
      <c r="G18" s="17"/>
      <c r="H18" s="127" t="s">
        <v>109</v>
      </c>
      <c r="I18" s="127"/>
    </row>
    <row r="19" spans="1:9" ht="15.75" thickBot="1" x14ac:dyDescent="0.3">
      <c r="A19" s="117"/>
      <c r="B19" s="117"/>
      <c r="C19" s="117"/>
      <c r="D19" s="117"/>
      <c r="E19" s="117"/>
      <c r="F19" s="117"/>
      <c r="G19" s="117"/>
      <c r="H19" s="117"/>
      <c r="I19" s="117"/>
    </row>
    <row r="20" spans="1:9" ht="19.5" thickBot="1" x14ac:dyDescent="0.35">
      <c r="A20" s="30" t="s">
        <v>181</v>
      </c>
      <c r="B20" s="31" t="s">
        <v>241</v>
      </c>
      <c r="C20" s="31" t="s">
        <v>242</v>
      </c>
      <c r="D20" s="29" t="s">
        <v>243</v>
      </c>
      <c r="E20" s="28" t="s">
        <v>244</v>
      </c>
      <c r="F20" s="31" t="s">
        <v>245</v>
      </c>
      <c r="G20" s="18" t="s">
        <v>182</v>
      </c>
      <c r="H20" s="28" t="s">
        <v>183</v>
      </c>
      <c r="I20" s="29"/>
    </row>
    <row r="21" spans="1:9" ht="15" customHeight="1" x14ac:dyDescent="0.25">
      <c r="A21" s="149" t="s">
        <v>240</v>
      </c>
      <c r="B21" s="141">
        <v>45</v>
      </c>
      <c r="C21" s="151">
        <v>13</v>
      </c>
      <c r="D21" s="141">
        <v>20</v>
      </c>
      <c r="E21" s="151">
        <v>15</v>
      </c>
      <c r="F21" s="141">
        <v>33</v>
      </c>
      <c r="G21" s="141">
        <f>SUM(B21:F22)</f>
        <v>126</v>
      </c>
      <c r="H21" s="142" t="str">
        <f>IF(G21&gt;=130,"Excellent", IF(G21&gt;=100, "Very Good", IF(G21&gt;=90, "Good", IF(G21&gt;=80, "Average", IF(G21&lt;=80, "Below Average")))))</f>
        <v>Very Good</v>
      </c>
      <c r="I21" s="143"/>
    </row>
    <row r="22" spans="1:9" ht="15.75" customHeight="1" thickBot="1" x14ac:dyDescent="0.3">
      <c r="A22" s="150"/>
      <c r="B22" s="124"/>
      <c r="C22" s="152"/>
      <c r="D22" s="124"/>
      <c r="E22" s="152"/>
      <c r="F22" s="124"/>
      <c r="G22" s="124"/>
      <c r="H22" s="144"/>
      <c r="I22" s="145"/>
    </row>
    <row r="23" spans="1:9" ht="15" customHeight="1" x14ac:dyDescent="0.25">
      <c r="A23" s="149" t="s">
        <v>184</v>
      </c>
      <c r="B23" s="141">
        <v>40</v>
      </c>
      <c r="C23" s="151">
        <v>24</v>
      </c>
      <c r="D23" s="141">
        <v>22</v>
      </c>
      <c r="E23" s="151">
        <v>15</v>
      </c>
      <c r="F23" s="141">
        <v>34</v>
      </c>
      <c r="G23" s="141">
        <f t="shared" ref="G23" si="0">SUM(B23:F24)</f>
        <v>135</v>
      </c>
      <c r="H23" s="142" t="str">
        <f t="shared" ref="H23" si="1">IF(G23&gt;=130,"Excellent", IF(G23&gt;=100, "Very Good", IF(G23&gt;=90, "Good", IF(G23&gt;=80, "Average", IF(G23&lt;=80, "Below Average")))))</f>
        <v>Excellent</v>
      </c>
      <c r="I23" s="143"/>
    </row>
    <row r="24" spans="1:9" ht="15.75" customHeight="1" thickBot="1" x14ac:dyDescent="0.3">
      <c r="A24" s="150"/>
      <c r="B24" s="124"/>
      <c r="C24" s="152"/>
      <c r="D24" s="124"/>
      <c r="E24" s="152"/>
      <c r="F24" s="124"/>
      <c r="G24" s="124"/>
      <c r="H24" s="144"/>
      <c r="I24" s="145"/>
    </row>
    <row r="25" spans="1:9" ht="15" customHeight="1" x14ac:dyDescent="0.25">
      <c r="A25" s="149" t="s">
        <v>185</v>
      </c>
      <c r="B25" s="141">
        <v>35</v>
      </c>
      <c r="C25" s="151">
        <v>18</v>
      </c>
      <c r="D25" s="141">
        <v>21</v>
      </c>
      <c r="E25" s="151">
        <v>14</v>
      </c>
      <c r="F25" s="141">
        <v>30</v>
      </c>
      <c r="G25" s="141">
        <f t="shared" ref="G25" si="2">SUM(B25:F26)</f>
        <v>118</v>
      </c>
      <c r="H25" s="142" t="str">
        <f t="shared" ref="H25" si="3">IF(G25&gt;=130,"Excellent", IF(G25&gt;=100, "Very Good", IF(G25&gt;=90, "Good", IF(G25&gt;=80, "Average", IF(G25&lt;=80, "Below Average")))))</f>
        <v>Very Good</v>
      </c>
      <c r="I25" s="143"/>
    </row>
    <row r="26" spans="1:9" ht="15.75" customHeight="1" thickBot="1" x14ac:dyDescent="0.3">
      <c r="A26" s="150"/>
      <c r="B26" s="124"/>
      <c r="C26" s="152"/>
      <c r="D26" s="124"/>
      <c r="E26" s="152"/>
      <c r="F26" s="124"/>
      <c r="G26" s="124"/>
      <c r="H26" s="144"/>
      <c r="I26" s="145"/>
    </row>
    <row r="27" spans="1:9" ht="15" customHeight="1" x14ac:dyDescent="0.25">
      <c r="A27" s="149" t="s">
        <v>186</v>
      </c>
      <c r="B27" s="141">
        <v>47</v>
      </c>
      <c r="C27" s="151">
        <v>20</v>
      </c>
      <c r="D27" s="141">
        <v>19</v>
      </c>
      <c r="E27" s="151">
        <v>13</v>
      </c>
      <c r="F27" s="141">
        <v>29</v>
      </c>
      <c r="G27" s="141">
        <f t="shared" ref="G27" si="4">SUM(B27:F28)</f>
        <v>128</v>
      </c>
      <c r="H27" s="142" t="str">
        <f t="shared" ref="H27" si="5">IF(G27&gt;=130,"Excellent", IF(G27&gt;=100, "Very Good", IF(G27&gt;=90, "Good", IF(G27&gt;=80, "Average", IF(G27&lt;=80, "Below Average")))))</f>
        <v>Very Good</v>
      </c>
      <c r="I27" s="143"/>
    </row>
    <row r="28" spans="1:9" ht="15.75" customHeight="1" thickBot="1" x14ac:dyDescent="0.3">
      <c r="A28" s="150"/>
      <c r="B28" s="124"/>
      <c r="C28" s="152"/>
      <c r="D28" s="124"/>
      <c r="E28" s="152"/>
      <c r="F28" s="124"/>
      <c r="G28" s="124"/>
      <c r="H28" s="144"/>
      <c r="I28" s="145"/>
    </row>
    <row r="29" spans="1:9" ht="15" customHeight="1" x14ac:dyDescent="0.25">
      <c r="A29" s="149" t="s">
        <v>187</v>
      </c>
      <c r="B29" s="141">
        <v>48</v>
      </c>
      <c r="C29" s="151">
        <v>17</v>
      </c>
      <c r="D29" s="141">
        <v>23</v>
      </c>
      <c r="E29" s="151">
        <v>14</v>
      </c>
      <c r="F29" s="141">
        <v>35</v>
      </c>
      <c r="G29" s="141">
        <f t="shared" ref="G29" si="6">SUM(B29:F30)</f>
        <v>137</v>
      </c>
      <c r="H29" s="142" t="str">
        <f t="shared" ref="H29" si="7">IF(G29&gt;=130,"Excellent", IF(G29&gt;=100, "Very Good", IF(G29&gt;=90, "Good", IF(G29&gt;=80, "Average", IF(G29&lt;=80, "Below Average")))))</f>
        <v>Excellent</v>
      </c>
      <c r="I29" s="143"/>
    </row>
    <row r="30" spans="1:9" ht="15.75" customHeight="1" thickBot="1" x14ac:dyDescent="0.3">
      <c r="A30" s="150"/>
      <c r="B30" s="124"/>
      <c r="C30" s="152"/>
      <c r="D30" s="124"/>
      <c r="E30" s="152"/>
      <c r="F30" s="124"/>
      <c r="G30" s="124"/>
      <c r="H30" s="144"/>
      <c r="I30" s="145"/>
    </row>
    <row r="31" spans="1:9" ht="15" customHeight="1" x14ac:dyDescent="0.25">
      <c r="A31" s="149" t="s">
        <v>188</v>
      </c>
      <c r="B31" s="141">
        <v>38</v>
      </c>
      <c r="C31" s="151">
        <v>16</v>
      </c>
      <c r="D31" s="141">
        <v>18</v>
      </c>
      <c r="E31" s="151">
        <v>15</v>
      </c>
      <c r="F31" s="141">
        <v>31</v>
      </c>
      <c r="G31" s="141">
        <f t="shared" ref="G31" si="8">SUM(B31:F32)</f>
        <v>118</v>
      </c>
      <c r="H31" s="142" t="str">
        <f t="shared" ref="H31" si="9">IF(G31&gt;=130,"Excellent", IF(G31&gt;=100, "Very Good", IF(G31&gt;=90, "Good", IF(G31&gt;=80, "Average", IF(G31&lt;=80, "Below Average")))))</f>
        <v>Very Good</v>
      </c>
      <c r="I31" s="143"/>
    </row>
    <row r="32" spans="1:9" ht="15.75" customHeight="1" thickBot="1" x14ac:dyDescent="0.3">
      <c r="A32" s="150"/>
      <c r="B32" s="124"/>
      <c r="C32" s="152"/>
      <c r="D32" s="124"/>
      <c r="E32" s="152"/>
      <c r="F32" s="124"/>
      <c r="G32" s="124"/>
      <c r="H32" s="144"/>
      <c r="I32" s="145"/>
    </row>
    <row r="33" spans="1:9" ht="19.5" thickBot="1" x14ac:dyDescent="0.3">
      <c r="A33" s="30" t="s">
        <v>190</v>
      </c>
      <c r="B33" s="27">
        <f t="shared" ref="B33:G33" si="10">AVERAGE(B21:B32)</f>
        <v>42.166666666666664</v>
      </c>
      <c r="C33" s="33">
        <f t="shared" si="10"/>
        <v>18</v>
      </c>
      <c r="D33" s="26">
        <f t="shared" si="10"/>
        <v>20.5</v>
      </c>
      <c r="E33" s="33">
        <f t="shared" si="10"/>
        <v>14.333333333333334</v>
      </c>
      <c r="F33" s="26">
        <f t="shared" si="10"/>
        <v>32</v>
      </c>
      <c r="G33" s="27">
        <f t="shared" si="10"/>
        <v>127</v>
      </c>
      <c r="H33" s="146" t="str">
        <f>IF(G33&gt;=130,"Excellent", IF(G33&gt;=100, "Very Good", IF(G33&gt;=90, "Good", IF(G33&gt;=80, "Average", IF(G33&lt;=80, "Below Average")))))</f>
        <v>Very Good</v>
      </c>
      <c r="I33" s="147"/>
    </row>
    <row r="34" spans="1:9" ht="15.75" customHeight="1" x14ac:dyDescent="0.25">
      <c r="A34" s="4"/>
      <c r="B34" s="4"/>
      <c r="C34" s="4"/>
      <c r="D34" s="4"/>
      <c r="E34" s="4"/>
      <c r="F34" s="4"/>
      <c r="G34" s="4"/>
      <c r="H34" s="4"/>
      <c r="I34" s="4"/>
    </row>
    <row r="35" spans="1:9" x14ac:dyDescent="0.25">
      <c r="A35" s="129" t="s">
        <v>191</v>
      </c>
      <c r="B35" s="129"/>
      <c r="C35" s="148" t="str">
        <f>IF(B33&gt;=35, "You are keeping the pace in biology. More efforts", IF(B33&lt;35, "Poor performance in biology, you need to sit up!!!"))</f>
        <v>You are keeping the pace in biology. More efforts</v>
      </c>
      <c r="D35" s="148"/>
      <c r="E35" s="148"/>
      <c r="F35" s="148"/>
      <c r="G35" s="148"/>
      <c r="H35" s="148"/>
      <c r="I35" s="148"/>
    </row>
    <row r="36" spans="1:9" x14ac:dyDescent="0.25">
      <c r="A36" s="129" t="s">
        <v>247</v>
      </c>
      <c r="B36" s="129"/>
      <c r="C36" s="148" t="str">
        <f>IF(C33&gt;=15, "You are keeping the pace in physics. More efforts", IF(C33&lt;15, "Poor performance in physics, you need to sit up!!!"))</f>
        <v>You are keeping the pace in physics. More efforts</v>
      </c>
      <c r="D36" s="148"/>
      <c r="E36" s="148"/>
      <c r="F36" s="148"/>
      <c r="G36" s="148"/>
      <c r="H36" s="148"/>
      <c r="I36" s="148"/>
    </row>
    <row r="37" spans="1:9" x14ac:dyDescent="0.25">
      <c r="A37" s="129" t="s">
        <v>248</v>
      </c>
      <c r="B37" s="129"/>
      <c r="C37" s="148" t="str">
        <f>IF(D33&gt;=15, "You are keeping the pace in chemistry. More efforts", IF(D33&lt;15, "Poor performance in chemistry, you need to sit up!!!"))</f>
        <v>You are keeping the pace in chemistry. More efforts</v>
      </c>
      <c r="D37" s="148"/>
      <c r="E37" s="148"/>
      <c r="F37" s="148"/>
      <c r="G37" s="148"/>
      <c r="H37" s="148"/>
      <c r="I37" s="148"/>
    </row>
    <row r="38" spans="1:9" x14ac:dyDescent="0.25">
      <c r="A38" s="129" t="s">
        <v>249</v>
      </c>
      <c r="B38" s="129"/>
      <c r="C38" s="148" t="str">
        <f>IF(E33&gt;=12, "You are keeping the pace in French. More efforts", IF(E33&lt;12, "Poor performance in French, you need to sit up!!!"))</f>
        <v>You are keeping the pace in French. More efforts</v>
      </c>
      <c r="D38" s="148"/>
      <c r="E38" s="148"/>
      <c r="F38" s="148"/>
      <c r="G38" s="148"/>
      <c r="H38" s="148"/>
      <c r="I38" s="148"/>
    </row>
    <row r="39" spans="1:9" x14ac:dyDescent="0.25">
      <c r="A39" s="129" t="s">
        <v>250</v>
      </c>
      <c r="B39" s="129"/>
      <c r="C39" s="148" t="str">
        <f>IF(F33&gt;=25, "You are keeping the pace in biology. More efforts", IF(F33&lt;25, "Poor performance in biology, you need to sit up!!!"))</f>
        <v>You are keeping the pace in biology. More efforts</v>
      </c>
      <c r="D39" s="148"/>
      <c r="E39" s="148"/>
      <c r="F39" s="148"/>
      <c r="G39" s="148"/>
      <c r="H39" s="148"/>
      <c r="I39" s="148"/>
    </row>
    <row r="40" spans="1:9" x14ac:dyDescent="0.25">
      <c r="A40" s="4"/>
      <c r="B40" s="4"/>
      <c r="C40" s="32"/>
      <c r="D40" s="32"/>
      <c r="E40" s="32"/>
      <c r="F40" s="32"/>
      <c r="G40" s="32"/>
      <c r="H40" s="32"/>
      <c r="I40" s="32"/>
    </row>
    <row r="41" spans="1:9" x14ac:dyDescent="0.25">
      <c r="A41" s="4"/>
      <c r="B41" s="4"/>
      <c r="C41" s="119" t="s">
        <v>194</v>
      </c>
      <c r="D41" s="119"/>
      <c r="E41" s="32"/>
      <c r="F41" s="32"/>
      <c r="G41" s="119" t="s">
        <v>211</v>
      </c>
      <c r="H41" s="119"/>
      <c r="I41" s="32"/>
    </row>
    <row r="42" spans="1:9" x14ac:dyDescent="0.25">
      <c r="A42" s="14"/>
      <c r="B42" s="14"/>
      <c r="C42" s="14"/>
      <c r="D42" s="14"/>
      <c r="E42" s="14"/>
      <c r="F42" s="14"/>
      <c r="G42" s="14"/>
      <c r="H42" s="14"/>
      <c r="I42" s="14"/>
    </row>
    <row r="43" spans="1:9" x14ac:dyDescent="0.25">
      <c r="A43" s="20"/>
      <c r="B43" s="20"/>
      <c r="C43" s="20"/>
      <c r="D43" s="20"/>
      <c r="E43" s="20"/>
      <c r="F43" s="20"/>
      <c r="G43" s="20"/>
      <c r="H43" s="20"/>
      <c r="I43" s="14"/>
    </row>
    <row r="44" spans="1:9" x14ac:dyDescent="0.25">
      <c r="A44" s="117"/>
      <c r="B44" s="118"/>
      <c r="C44" s="14"/>
      <c r="D44" s="117"/>
      <c r="E44" s="117"/>
      <c r="F44" s="14"/>
      <c r="G44" s="117"/>
      <c r="H44" s="117"/>
      <c r="I44" s="14"/>
    </row>
    <row r="45" spans="1:9" x14ac:dyDescent="0.25">
      <c r="A45" s="14"/>
      <c r="B45" s="14"/>
      <c r="C45" s="14"/>
      <c r="D45" s="14"/>
      <c r="E45" s="14"/>
      <c r="F45" s="14"/>
      <c r="G45" s="14"/>
      <c r="H45" s="14"/>
      <c r="I45" s="14"/>
    </row>
  </sheetData>
  <mergeCells count="73">
    <mergeCell ref="F25:F26"/>
    <mergeCell ref="F27:F28"/>
    <mergeCell ref="F29:F30"/>
    <mergeCell ref="F31:F32"/>
    <mergeCell ref="E21:E22"/>
    <mergeCell ref="E23:E24"/>
    <mergeCell ref="E25:E26"/>
    <mergeCell ref="E27:E28"/>
    <mergeCell ref="E29:E30"/>
    <mergeCell ref="E31:E32"/>
    <mergeCell ref="D25:D26"/>
    <mergeCell ref="D27:D28"/>
    <mergeCell ref="D29:D30"/>
    <mergeCell ref="D31:D32"/>
    <mergeCell ref="C21:C22"/>
    <mergeCell ref="C23:C24"/>
    <mergeCell ref="C25:C26"/>
    <mergeCell ref="C27:C28"/>
    <mergeCell ref="C29:C30"/>
    <mergeCell ref="C31:C32"/>
    <mergeCell ref="D21:D22"/>
    <mergeCell ref="D23:D24"/>
    <mergeCell ref="B31:B32"/>
    <mergeCell ref="A21:A22"/>
    <mergeCell ref="A23:A24"/>
    <mergeCell ref="A25:A26"/>
    <mergeCell ref="A27:A28"/>
    <mergeCell ref="A29:A30"/>
    <mergeCell ref="A31:A32"/>
    <mergeCell ref="B21:B22"/>
    <mergeCell ref="B23:B24"/>
    <mergeCell ref="B25:B26"/>
    <mergeCell ref="B27:B28"/>
    <mergeCell ref="B29:B30"/>
    <mergeCell ref="A44:B44"/>
    <mergeCell ref="D44:E44"/>
    <mergeCell ref="G44:H44"/>
    <mergeCell ref="H33:I33"/>
    <mergeCell ref="A35:B35"/>
    <mergeCell ref="C35:I35"/>
    <mergeCell ref="A36:B36"/>
    <mergeCell ref="A37:B37"/>
    <mergeCell ref="C41:D41"/>
    <mergeCell ref="G41:H41"/>
    <mergeCell ref="A38:B38"/>
    <mergeCell ref="C36:I36"/>
    <mergeCell ref="C37:I37"/>
    <mergeCell ref="C38:I38"/>
    <mergeCell ref="C39:I39"/>
    <mergeCell ref="A39:B39"/>
    <mergeCell ref="G29:G30"/>
    <mergeCell ref="H29:I30"/>
    <mergeCell ref="G31:G32"/>
    <mergeCell ref="H31:I32"/>
    <mergeCell ref="G25:G26"/>
    <mergeCell ref="H25:I26"/>
    <mergeCell ref="G27:G28"/>
    <mergeCell ref="H27:I28"/>
    <mergeCell ref="G21:G22"/>
    <mergeCell ref="H21:I22"/>
    <mergeCell ref="G23:G24"/>
    <mergeCell ref="H23:I24"/>
    <mergeCell ref="H18:I18"/>
    <mergeCell ref="A19:I19"/>
    <mergeCell ref="F21:F22"/>
    <mergeCell ref="F23:F24"/>
    <mergeCell ref="C18:E18"/>
    <mergeCell ref="A14:I14"/>
    <mergeCell ref="A15:I15"/>
    <mergeCell ref="C16:E16"/>
    <mergeCell ref="H16:I16"/>
    <mergeCell ref="C17:E17"/>
    <mergeCell ref="H17:I1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reg teacher</vt:lpstr>
      <vt:lpstr>payslip</vt:lpstr>
      <vt:lpstr>reg science</vt:lpstr>
      <vt:lpstr>reg arts</vt:lpstr>
      <vt:lpstr>eng report</vt:lpstr>
      <vt:lpstr>eng sheet</vt:lpstr>
      <vt:lpstr>med sheet</vt:lpstr>
      <vt:lpstr>med report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web</dc:creator>
  <cp:lastModifiedBy>carl</cp:lastModifiedBy>
  <cp:lastPrinted>2020-04-08T22:20:20Z</cp:lastPrinted>
  <dcterms:created xsi:type="dcterms:W3CDTF">2020-04-01T13:43:15Z</dcterms:created>
  <dcterms:modified xsi:type="dcterms:W3CDTF">2020-04-10T17:28:14Z</dcterms:modified>
</cp:coreProperties>
</file>